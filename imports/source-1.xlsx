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Advance Register" sheetId="2" r:id="rId6"/>
    <sheet state="visible" name="Salary Register" sheetId="3" r:id="rId7"/>
    <sheet state="visible" name="01-2026" sheetId="4" r:id="rId8"/>
    <sheet state="visible" name="02-2026" sheetId="5" r:id="rId9"/>
    <sheet state="visible" name="03-2026" sheetId="6" r:id="rId10"/>
    <sheet state="visible" name="04-2026" sheetId="7" r:id="rId11"/>
    <sheet state="visible" name="05-2026" sheetId="8" r:id="rId12"/>
    <sheet state="visible" name="06-2026" sheetId="9" r:id="rId13"/>
  </sheets>
  <definedNames>
    <definedName hidden="1" localSheetId="3" name="_xlnm._FilterDatabase">'01-2026'!$A$9:$M$65</definedName>
    <definedName hidden="1" localSheetId="4" name="_xlnm._FilterDatabase">'02-2026'!$A$9:$M$63</definedName>
    <definedName hidden="1" localSheetId="5" name="_xlnm._FilterDatabase">'03-2026'!$A$9:$M$68</definedName>
    <definedName hidden="1" localSheetId="6" name="_xlnm._FilterDatabase">'04-2026'!$A$10:$M$66</definedName>
    <definedName hidden="1" localSheetId="7" name="_xlnm._FilterDatabase">'05-2026'!$A$9:$M$69</definedName>
    <definedName hidden="1" localSheetId="8" name="_xlnm._FilterDatabase">'06-2026'!$A$10:$M$67</definedName>
  </definedNames>
  <calcPr/>
</workbook>
</file>

<file path=xl/sharedStrings.xml><?xml version="1.0" encoding="utf-8"?>
<sst xmlns="http://schemas.openxmlformats.org/spreadsheetml/2006/main" count="240" uniqueCount="53">
  <si>
    <t>Employee Details - 2026</t>
  </si>
  <si>
    <t>Employee ID</t>
  </si>
  <si>
    <t>Employee Name</t>
  </si>
  <si>
    <t xml:space="preserve">Contact </t>
  </si>
  <si>
    <t>Department</t>
  </si>
  <si>
    <t>Designation</t>
  </si>
  <si>
    <t>Basic Salary</t>
  </si>
  <si>
    <t>Per Day Salary</t>
  </si>
  <si>
    <t>Per Hour Salary</t>
  </si>
  <si>
    <t>Rajat Hela</t>
  </si>
  <si>
    <t>Production</t>
  </si>
  <si>
    <t>CNC Machine Operator</t>
  </si>
  <si>
    <t>Umesh Kumar</t>
  </si>
  <si>
    <t>Ranjan Kumar</t>
  </si>
  <si>
    <t>Advance Register - 2026</t>
  </si>
  <si>
    <t>Date</t>
  </si>
  <si>
    <t>Amount</t>
  </si>
  <si>
    <t>Payment Mode</t>
  </si>
  <si>
    <t>Status</t>
  </si>
  <si>
    <t>Remarks</t>
  </si>
  <si>
    <t>Cash</t>
  </si>
  <si>
    <t>Deducted</t>
  </si>
  <si>
    <t>-</t>
  </si>
  <si>
    <t>Water Bottle (15)</t>
  </si>
  <si>
    <t>Pending</t>
  </si>
  <si>
    <t>Salary Register - 2026</t>
  </si>
  <si>
    <t>Month</t>
  </si>
  <si>
    <t>Gross Salary</t>
  </si>
  <si>
    <t>Advance Deducted</t>
  </si>
  <si>
    <t>Other Deductions</t>
  </si>
  <si>
    <t>Net Salary Payable</t>
  </si>
  <si>
    <t>Payment Status</t>
  </si>
  <si>
    <t>Payment Date</t>
  </si>
  <si>
    <t>Paid - Cash</t>
  </si>
  <si>
    <t>Emp ID</t>
  </si>
  <si>
    <t>Total Hours</t>
  </si>
  <si>
    <t>Total  OT (hrs)</t>
  </si>
  <si>
    <t>Salary Earned</t>
  </si>
  <si>
    <t>Check-In</t>
  </si>
  <si>
    <t>Break Start</t>
  </si>
  <si>
    <t>Break End</t>
  </si>
  <si>
    <t>Check-Out</t>
  </si>
  <si>
    <t>Total Break (hrs)</t>
  </si>
  <si>
    <t>Total Working (hrs)</t>
  </si>
  <si>
    <t>Net Working (hrs)</t>
  </si>
  <si>
    <t>Over Time (hrs)</t>
  </si>
  <si>
    <t>NW (For Calc)</t>
  </si>
  <si>
    <t>Ot (For Calc)</t>
  </si>
  <si>
    <t>Wednesday</t>
  </si>
  <si>
    <t>Setting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</si>
  <si>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</si>
  <si>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</si>
  <si>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Sandip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</si>
</sst>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₹&quot;\ #,##0.00"/>
    <numFmt numFmtId="165" formatCode="dd&quot;/&quot;mm&quot;/&quot;yyyy"/>
    <numFmt numFmtId="166" formatCode="[$₹]#,##0.00"/>
    <numFmt numFmtId="167" formatCode="mmm&quot;-&quot;yyyy"/>
    <numFmt numFmtId="168" formatCode="&quot;₹&quot;\ #,##0"/>
    <numFmt numFmtId="169" formatCode="m-d-yyyy"/>
    <numFmt numFmtId="170" formatCode="mmmm - yyyy"/>
    <numFmt numFmtId="171" formatCode="[$-10409]hh:mm\ AM/PM"/>
    <numFmt numFmtId="172" formatCode="d&quot;-&quot;mmm&quot;-&quot;yyyy"/>
    <numFmt numFmtId="173" formatCode="hh&quot;:&quot;mm&quot; &quot;am/pm"/>
    <numFmt numFmtId="174" formatCode="h&quot;:&quot;mm&quot; &quot;"/>
  </numFmts>
  <fonts count="10">
    <font>
      <sz val="11.0"/>
      <color theme="1"/>
      <name val="Arial"/>
      <scheme val="minor"/>
    </font>
    <font>
      <sz val="22.0"/>
      <color rgb="FFFFFFFF"/>
      <name val="Calibri"/>
    </font>
    <font/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164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5" numFmtId="2" xfId="0" applyAlignment="1" applyFont="1" applyNumberFormat="1">
      <alignment horizontal="center" readingOrder="0" shrinkToFit="0" vertical="center" wrapText="0"/>
    </xf>
    <xf borderId="0" fillId="0" fontId="5" numFmtId="2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5" numFmtId="2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3" fontId="4" numFmtId="164" xfId="0" applyAlignment="1" applyFont="1" applyNumberFormat="1">
      <alignment horizontal="center" shrinkToFit="0" vertical="center" wrapText="0"/>
    </xf>
    <xf borderId="0" fillId="3" fontId="4" numFmtId="2" xfId="0" applyAlignment="1" applyFont="1" applyNumberFormat="1">
      <alignment horizontal="center" shrinkToFit="0" vertical="center" wrapText="0"/>
    </xf>
    <xf borderId="0" fillId="3" fontId="6" numFmtId="0" xfId="0" applyAlignment="1" applyFont="1">
      <alignment horizontal="center" shrinkToFit="0" vertical="center" wrapText="0"/>
    </xf>
    <xf borderId="0" fillId="3" fontId="4" numFmtId="164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0" fontId="5" numFmtId="166" xfId="0" applyAlignment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6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7" fillId="2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6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167" xfId="0" applyAlignment="1" applyFont="1" applyNumberFormat="1">
      <alignment horizontal="center" readingOrder="0" shrinkToFit="0" vertical="center" wrapText="0"/>
    </xf>
    <xf borderId="0" fillId="0" fontId="3" numFmtId="168" xfId="0" applyAlignment="1" applyFont="1" applyNumberFormat="1">
      <alignment horizontal="center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8" xfId="0" applyAlignment="1" applyFont="1" applyNumberFormat="1">
      <alignment horizontal="center" shrinkToFit="0" vertical="center" wrapText="0"/>
    </xf>
    <xf borderId="0" fillId="0" fontId="3" numFmtId="166" xfId="0" applyAlignment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167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9" xfId="0" applyAlignment="1" applyFont="1" applyNumberFormat="1">
      <alignment horizontal="center" readingOrder="0" vertical="center"/>
    </xf>
    <xf borderId="1" fillId="2" fontId="1" numFmtId="170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2" xfId="0" applyAlignment="1" applyFont="1" applyNumberFormat="1">
      <alignment horizontal="center"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5" numFmtId="168" xfId="0" applyAlignment="1" applyFont="1" applyNumberFormat="1">
      <alignment horizontal="center" shrinkToFit="0" vertical="center" wrapText="0"/>
    </xf>
    <xf borderId="0" fillId="2" fontId="4" numFmtId="0" xfId="0" applyAlignment="1" applyFont="1">
      <alignment horizontal="center" readingOrder="0" vertical="center"/>
    </xf>
    <xf borderId="0" fillId="2" fontId="4" numFmtId="171" xfId="0" applyAlignment="1" applyFont="1" applyNumberFormat="1">
      <alignment horizontal="center" readingOrder="0" vertical="center"/>
    </xf>
    <xf borderId="0" fillId="2" fontId="4" numFmtId="2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4" numFmtId="4" xfId="0" applyAlignment="1" applyFont="1" applyNumberFormat="1">
      <alignment horizontal="center" vertical="center"/>
    </xf>
    <xf borderId="0" fillId="3" fontId="7" numFmtId="172" xfId="0" applyAlignment="1" applyFont="1" applyNumberFormat="1">
      <alignment horizontal="center" vertical="center"/>
    </xf>
    <xf borderId="0" fillId="3" fontId="7" numFmtId="0" xfId="0" applyAlignment="1" applyFont="1">
      <alignment horizontal="center" vertical="center"/>
    </xf>
    <xf borderId="0" fillId="3" fontId="7" numFmtId="171" xfId="0" applyAlignment="1" applyFont="1" applyNumberFormat="1">
      <alignment horizontal="center" vertical="center"/>
    </xf>
    <xf borderId="0" fillId="3" fontId="7" numFmtId="173" xfId="0" applyAlignment="1" applyFont="1" applyNumberFormat="1">
      <alignment horizontal="center" vertical="center"/>
    </xf>
    <xf borderId="0" fillId="3" fontId="7" numFmtId="174" xfId="0" applyAlignment="1" applyFont="1" applyNumberFormat="1">
      <alignment horizontal="center" vertical="center"/>
    </xf>
    <xf borderId="0" fillId="3" fontId="8" numFmtId="174" xfId="0" applyAlignment="1" applyFont="1" applyNumberFormat="1">
      <alignment horizontal="center" vertical="center"/>
    </xf>
    <xf borderId="0" fillId="3" fontId="4" numFmtId="2" xfId="0" applyAlignment="1" applyFont="1" applyNumberFormat="1">
      <alignment horizontal="center" vertical="center"/>
    </xf>
    <xf borderId="0" fillId="4" fontId="7" numFmtId="172" xfId="0" applyAlignment="1" applyFill="1" applyFont="1" applyNumberForma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0" fillId="4" fontId="7" numFmtId="171" xfId="0" applyAlignment="1" applyFont="1" applyNumberFormat="1">
      <alignment horizontal="center" readingOrder="0" vertical="center"/>
    </xf>
    <xf borderId="0" fillId="4" fontId="9" numFmtId="173" xfId="0" applyAlignment="1" applyFont="1" applyNumberFormat="1">
      <alignment horizontal="center" readingOrder="0"/>
    </xf>
    <xf borderId="0" fillId="4" fontId="7" numFmtId="173" xfId="0" applyAlignment="1" applyFont="1" applyNumberFormat="1">
      <alignment horizontal="center" readingOrder="0" vertical="center"/>
    </xf>
    <xf borderId="0" fillId="4" fontId="7" numFmtId="174" xfId="0" applyAlignment="1" applyFont="1" applyNumberFormat="1">
      <alignment horizontal="center" vertical="center"/>
    </xf>
    <xf borderId="0" fillId="4" fontId="8" numFmtId="174" xfId="0" applyAlignment="1" applyFont="1" applyNumberFormat="1">
      <alignment horizontal="center" vertical="center"/>
    </xf>
    <xf borderId="0" fillId="4" fontId="4" numFmtId="2" xfId="0" applyAlignment="1" applyFont="1" applyNumberFormat="1">
      <alignment horizontal="center" vertical="center"/>
    </xf>
    <xf borderId="0" fillId="3" fontId="7" numFmtId="172" xfId="0" applyAlignment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3" fontId="7" numFmtId="171" xfId="0" applyAlignment="1" applyFont="1" applyNumberFormat="1">
      <alignment horizontal="center" readingOrder="0" vertical="center"/>
    </xf>
    <xf borderId="0" fillId="3" fontId="9" numFmtId="173" xfId="0" applyAlignment="1" applyFont="1" applyNumberFormat="1">
      <alignment horizontal="center" readingOrder="0"/>
    </xf>
    <xf borderId="0" fillId="3" fontId="7" numFmtId="173" xfId="0" applyAlignment="1" applyFont="1" applyNumberFormat="1">
      <alignment horizontal="center" readingOrder="0" vertical="center"/>
    </xf>
    <xf borderId="0" fillId="3" fontId="4" numFmtId="2" xfId="0" applyAlignment="1" applyFont="1" applyNumberFormat="1">
      <alignment horizontal="center" readingOrder="0" vertical="center"/>
    </xf>
    <xf borderId="0" fillId="4" fontId="7" numFmtId="173" xfId="0" applyAlignment="1" applyFont="1" applyNumberFormat="1">
      <alignment horizontal="center" vertical="center"/>
    </xf>
    <xf borderId="0" fillId="3" fontId="9" numFmtId="173" xfId="0" applyAlignment="1" applyFont="1" applyNumberFormat="1">
      <alignment horizontal="center"/>
    </xf>
    <xf borderId="0" fillId="4" fontId="9" numFmtId="173" xfId="0" applyAlignment="1" applyFont="1" applyNumberFormat="1">
      <alignment horizontal="center"/>
    </xf>
    <xf borderId="0" fillId="0" fontId="4" numFmtId="46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7" numFmtId="174" xfId="0" applyAlignment="1" applyFont="1" applyNumberFormat="1">
      <alignment horizontal="center" vertical="center"/>
    </xf>
    <xf borderId="0" fillId="3" fontId="3" numFmtId="0" xfId="0" applyFont="1"/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71" xfId="0" applyAlignment="1" applyFont="1" applyNumberFormat="1">
      <alignment horizontal="center" readingOrder="0" shrinkToFit="0" vertical="center" wrapText="0"/>
    </xf>
    <xf borderId="0" fillId="0" fontId="4" numFmtId="2" xfId="0" applyAlignment="1" applyFont="1" applyNumberFormat="1">
      <alignment horizontal="center" readingOrder="0" shrinkToFit="0" vertical="center" wrapText="0"/>
    </xf>
    <xf borderId="0" fillId="0" fontId="7" numFmtId="172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71" xfId="0" applyAlignment="1" applyFont="1" applyNumberFormat="1">
      <alignment horizontal="center" shrinkToFit="0" vertical="center" wrapText="0"/>
    </xf>
    <xf borderId="0" fillId="0" fontId="7" numFmtId="173" xfId="0" applyAlignment="1" applyFont="1" applyNumberFormat="1">
      <alignment horizontal="center" shrinkToFit="0" vertical="center" wrapText="0"/>
    </xf>
    <xf borderId="0" fillId="0" fontId="7" numFmtId="174" xfId="0" applyAlignment="1" applyFont="1" applyNumberFormat="1">
      <alignment horizontal="center" shrinkToFit="0" vertical="center" wrapText="0"/>
    </xf>
    <xf borderId="0" fillId="0" fontId="8" numFmtId="174" xfId="0" applyAlignment="1" applyFont="1" applyNumberFormat="1">
      <alignment horizontal="center" shrinkToFit="0" vertical="center" wrapText="0"/>
    </xf>
    <xf borderId="0" fillId="0" fontId="4" numFmtId="2" xfId="0" applyAlignment="1" applyFont="1" applyNumberFormat="1">
      <alignment horizontal="center" shrinkToFit="0" vertical="center" wrapText="0"/>
    </xf>
    <xf borderId="0" fillId="0" fontId="7" numFmtId="172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71" xfId="0" applyAlignment="1" applyFont="1" applyNumberFormat="1">
      <alignment horizontal="center" readingOrder="0" shrinkToFit="0" vertical="center" wrapText="0"/>
    </xf>
    <xf borderId="0" fillId="0" fontId="9" numFmtId="173" xfId="0" applyAlignment="1" applyFont="1" applyNumberFormat="1">
      <alignment horizontal="center" readingOrder="0" shrinkToFit="0" vertical="center" wrapText="0"/>
    </xf>
    <xf borderId="0" fillId="0" fontId="7" numFmtId="173" xfId="0" applyAlignment="1" applyFont="1" applyNumberFormat="1">
      <alignment horizontal="center" readingOrder="0" shrinkToFit="0" vertical="center" wrapText="0"/>
    </xf>
    <xf borderId="0" fillId="0" fontId="7" numFmtId="174" xfId="0" applyAlignment="1" applyFont="1" applyNumberFormat="1">
      <alignment horizontal="center" readingOrder="0" shrinkToFit="0" vertical="center" wrapText="0"/>
    </xf>
    <xf borderId="0" fillId="0" fontId="8" numFmtId="17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count="4" pivot="0" name="Employ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vance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ary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-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-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-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-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-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-2026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H9" displayName="Emp" name="Emp" id="1">
  <tableColumns count="8">
    <tableColumn name="Employee ID" id="1"/>
    <tableColumn name="Employee Name" id="2"/>
    <tableColumn name="Contact " id="3"/>
    <tableColumn name="Department" id="4"/>
    <tableColumn name="Designation" id="5"/>
    <tableColumn name="Basic Salary" id="6"/>
    <tableColumn name="Per Day Salary" id="7"/>
    <tableColumn name="Per Hour Salary" id="8"/>
  </tableColumns>
  <tableStyleInfo name="Employees-style" showColumnStripes="0" showFirstColumn="1" showLastColumn="1" showRowStripes="1"/>
</table>
</file>

<file path=xl/tables/table2.xml><?xml version="1.0" encoding="utf-8"?>
<table xmlns="http://schemas.openxmlformats.org/spreadsheetml/2006/main" ref="A5:G16" displayName="Advance_Register" name="Advance_Register" id="2">
  <tableColumns count="7">
    <tableColumn name="Date" id="1"/>
    <tableColumn name="Employee ID" id="2"/>
    <tableColumn name="Employee Name" id="3"/>
    <tableColumn name="Amount" id="4"/>
    <tableColumn name="Payment Mode" id="5"/>
    <tableColumn name="Status" id="6"/>
    <tableColumn name="Remarks" id="7"/>
  </tableColumns>
  <tableStyleInfo name="Advance Register-style" showColumnStripes="0" showFirstColumn="1" showLastColumn="1" showRowStripes="1"/>
</table>
</file>

<file path=xl/tables/table3.xml><?xml version="1.0" encoding="utf-8"?>
<table xmlns="http://schemas.openxmlformats.org/spreadsheetml/2006/main" ref="A3:I11" displayName="Table7" name="Table7" id="3">
  <tableColumns count="9">
    <tableColumn name="Month" id="1"/>
    <tableColumn name="Employee ID" id="2"/>
    <tableColumn name="Employee Name" id="3"/>
    <tableColumn name="Gross Salary" id="4"/>
    <tableColumn name="Advance Deducted" id="5"/>
    <tableColumn name="Other Deductions" id="6"/>
    <tableColumn name="Net Salary Payable" id="7"/>
    <tableColumn name="Payment Status" id="8"/>
    <tableColumn name="Payment Date" id="9"/>
  </tableColumns>
  <tableStyleInfo name="Salary Register-style" showColumnStripes="0" showFirstColumn="1" showLastColumn="1" showRowStripes="1"/>
</table>
</file>

<file path=xl/tables/table4.xml><?xml version="1.0" encoding="utf-8"?>
<table xmlns="http://schemas.openxmlformats.org/spreadsheetml/2006/main" ref="A5:K7" displayName="Table5_4" name="Table5_4" id="4">
  <tableColumns count="11">
    <tableColumn name="Emp ID" id="1"/>
    <tableColumn name="Employee Name" id="2"/>
    <tableColumn name="Contact " id="3"/>
    <tableColumn name="Department" id="4"/>
    <tableColumn name="Designation" id="5"/>
    <tableColumn name="Basic Salary" id="6"/>
    <tableColumn name="Per Day Salary" id="7"/>
    <tableColumn name="Per Hour Salary" id="8"/>
    <tableColumn name="Total Hours" id="9"/>
    <tableColumn name="Total  OT (hrs)" id="10"/>
    <tableColumn name="Salary Earned" id="11"/>
  </tableColumns>
  <tableStyleInfo name="01-2026-style" showColumnStripes="0" showFirstColumn="1" showLastColumn="1" showRowStripes="1"/>
</table>
</file>

<file path=xl/tables/table5.xml><?xml version="1.0" encoding="utf-8"?>
<table xmlns="http://schemas.openxmlformats.org/spreadsheetml/2006/main" ref="A5:K7" displayName="Table5" name="Table5" id="5">
  <tableColumns count="11">
    <tableColumn name="Emp ID" id="1"/>
    <tableColumn name="Employee Name" id="2"/>
    <tableColumn name="Contact " id="3"/>
    <tableColumn name="Department" id="4"/>
    <tableColumn name="Designation" id="5"/>
    <tableColumn name="Basic Salary" id="6"/>
    <tableColumn name="Per Day Salary" id="7"/>
    <tableColumn name="Per Hour Salary" id="8"/>
    <tableColumn name="Total Hours" id="9"/>
    <tableColumn name="Total  OT (hrs)" id="10"/>
    <tableColumn name="Salary Earned" id="11"/>
  </tableColumns>
  <tableStyleInfo name="02-2026-style" showColumnStripes="0" showFirstColumn="1" showLastColumn="1" showRowStripes="1"/>
</table>
</file>

<file path=xl/tables/table6.xml><?xml version="1.0" encoding="utf-8"?>
<table xmlns="http://schemas.openxmlformats.org/spreadsheetml/2006/main" ref="A9:M63" displayName="Table6" name="Table6" id="6">
  <autoFilter ref="$A$9:$M$63"/>
  <tableColumns count="13">
    <tableColumn name="Date" id="1"/>
    <tableColumn name="Employee ID" id="2"/>
    <tableColumn name="Employee Name" id="3"/>
    <tableColumn name="Check-In" id="4"/>
    <tableColumn name="Break Start" id="5"/>
    <tableColumn name="Break End" id="6"/>
    <tableColumn name="Check-Out" id="7"/>
    <tableColumn name="Total Break (hrs)" id="8"/>
    <tableColumn name="Total Working (hrs)" id="9"/>
    <tableColumn name="Net Working (hrs)" id="10"/>
    <tableColumn name="Over Time (hrs)" id="11"/>
    <tableColumn name="NW (For Calc)" id="12"/>
    <tableColumn name="Ot (For Calc)" id="13"/>
  </tableColumns>
  <tableStyleInfo name="02-2026-style 2" showColumnStripes="0" showFirstColumn="1" showLastColumn="1" showRowStripes="1"/>
</table>
</file>

<file path=xl/tables/table7.xml><?xml version="1.0" encoding="utf-8"?>
<table xmlns="http://schemas.openxmlformats.org/spreadsheetml/2006/main" ref="A5:K7" displayName="Table5_2" name="Table5_2" id="7">
  <tableColumns count="11">
    <tableColumn name="Emp ID" id="1"/>
    <tableColumn name="Employee Name" id="2"/>
    <tableColumn name="Contact " id="3"/>
    <tableColumn name="Department" id="4"/>
    <tableColumn name="Designation" id="5"/>
    <tableColumn name="Basic Salary" id="6"/>
    <tableColumn name="Per Day Salary" id="7"/>
    <tableColumn name="Per Hour Salary" id="8"/>
    <tableColumn name="Total Hours" id="9"/>
    <tableColumn name="Total  OT (hrs)" id="10"/>
    <tableColumn name="Salary Earned" id="11"/>
  </tableColumns>
  <tableStyleInfo name="03-2026-style" showColumnStripes="0" showFirstColumn="1" showLastColumn="1" showRowStripes="1"/>
</table>
</file>

<file path=xl/tables/table8.xml><?xml version="1.0" encoding="utf-8"?>
<table xmlns="http://schemas.openxmlformats.org/spreadsheetml/2006/main" ref="A9:M68" displayName="Table6_2" name="Table6_2" id="8">
  <autoFilter ref="$A$9:$M$68"/>
  <tableColumns count="13">
    <tableColumn name="Date" id="1"/>
    <tableColumn name="Employee ID" id="2"/>
    <tableColumn name="Employee Name" id="3"/>
    <tableColumn name="Check-In" id="4"/>
    <tableColumn name="Break Start" id="5"/>
    <tableColumn name="Break End" id="6"/>
    <tableColumn name="Check-Out" id="7"/>
    <tableColumn name="Total Break (hrs)" id="8"/>
    <tableColumn name="Total Working (hrs)" id="9"/>
    <tableColumn name="Net Working (hrs)" id="10"/>
    <tableColumn name="Over Time (hrs)" id="11"/>
    <tableColumn name="NW (For Calc)" id="12"/>
    <tableColumn name="Ot (For Calc)" id="13"/>
  </tableColumns>
  <tableStyleInfo name="03-2026-style 2" showColumnStripes="0" showFirstColumn="1" showLastColumn="1" showRowStripes="1"/>
</table>
</file>

<file path=xl/tables/table9.xml><?xml version="1.0" encoding="utf-8"?>
<table xmlns="http://schemas.openxmlformats.org/spreadsheetml/2006/main" ref="A5:K9" displayName="Table5_3" name="Table5_3" id="9">
  <tableColumns count="11">
    <tableColumn name="Emp ID" id="1"/>
    <tableColumn name="Employee Name" id="2"/>
    <tableColumn name="Contact " id="3"/>
    <tableColumn name="Department" id="4"/>
    <tableColumn name="Designation" id="5"/>
    <tableColumn name="Basic Salary" id="6"/>
    <tableColumn name="Per Day Salary" id="7"/>
    <tableColumn name="Per Hour Salary" id="8"/>
    <tableColumn name="Total Hours" id="9"/>
    <tableColumn name="Total  OT (hrs)" id="10"/>
    <tableColumn name="Salary Earned" id="11"/>
  </tableColumns>
  <tableStyleInfo name="04-2026-style" showColumnStripes="0" showFirstColumn="1" showLastColumn="1" showRowStripes="1"/>
</table>
</file>

<file path=xl/tables/table10.xml><?xml version="1.0" encoding="utf-8"?>
<table xmlns="http://schemas.openxmlformats.org/spreadsheetml/2006/main" ref="A10:M66" displayName="Table6_3" name="Table6_3" id="10">
  <autoFilter ref="$A$10:$M$66"/>
  <tableColumns count="13">
    <tableColumn name="Date" id="1"/>
    <tableColumn name="Employee ID" id="2"/>
    <tableColumn name="Employee Name" id="3"/>
    <tableColumn name="Check-In" id="4"/>
    <tableColumn name="Break Start" id="5"/>
    <tableColumn name="Break End" id="6"/>
    <tableColumn name="Check-Out" id="7"/>
    <tableColumn name="Total Break (hrs)" id="8"/>
    <tableColumn name="Total Working (hrs)" id="9"/>
    <tableColumn name="Net Working (hrs)" id="10"/>
    <tableColumn name="Over Time (hrs)" id="11"/>
    <tableColumn name="NW (For Calc)" id="12"/>
    <tableColumn name="Ot (For Calc)" id="13"/>
  </tableColumns>
  <tableStyleInfo name="04-2026-style 2" showColumnStripes="0" showFirstColumn="1" showLastColumn="1" showRowStripes="1"/>
</table>
</file>

<file path=xl/tables/table11.xml><?xml version="1.0" encoding="utf-8"?>
<table xmlns="http://schemas.openxmlformats.org/spreadsheetml/2006/main" ref="A5:K8" displayName="Table5_5" name="Table5_5" id="11">
  <tableColumns count="11">
    <tableColumn name="Emp ID" id="1"/>
    <tableColumn name="Employee Name" id="2"/>
    <tableColumn name="Contact " id="3"/>
    <tableColumn name="Department" id="4"/>
    <tableColumn name="Designation" id="5"/>
    <tableColumn name="Basic Salary" id="6"/>
    <tableColumn name="Per Day Salary" id="7"/>
    <tableColumn name="Per Hour Salary" id="8"/>
    <tableColumn name="Total Hours" id="9"/>
    <tableColumn name="Total  OT (hrs)" id="10"/>
    <tableColumn name="Salary Earned" id="11"/>
  </tableColumns>
  <tableStyleInfo name="05-2026-style" showColumnStripes="0" showFirstColumn="1" showLastColumn="1" showRowStripes="1"/>
</table>
</file>

<file path=xl/tables/table12.xml><?xml version="1.0" encoding="utf-8"?>
<table xmlns="http://schemas.openxmlformats.org/spreadsheetml/2006/main" ref="A9:M69" displayName="Table6_5" name="Table6_5" id="12">
  <autoFilter ref="$A$9:$M$69"/>
  <tableColumns count="13">
    <tableColumn name="Date" id="1"/>
    <tableColumn name="Employee ID" id="2"/>
    <tableColumn name="Employee Name" id="3"/>
    <tableColumn name="Check-In" id="4"/>
    <tableColumn name="Break Start" id="5"/>
    <tableColumn name="Break End" id="6"/>
    <tableColumn name="Check-Out" id="7"/>
    <tableColumn name="Total Break (hrs)" id="8"/>
    <tableColumn name="Total Working (hrs)" id="9"/>
    <tableColumn name="Net Working (hrs)" id="10"/>
    <tableColumn name="Over Time (hrs)" id="11"/>
    <tableColumn name="NW (For Calc)" id="12"/>
    <tableColumn name="Ot (For Calc)" id="13"/>
  </tableColumns>
  <tableStyleInfo name="05-2026-style 2" showColumnStripes="0" showFirstColumn="1" showLastColumn="1" showRowStripes="1"/>
</table>
</file>

<file path=xl/tables/table13.xml><?xml version="1.0" encoding="utf-8"?>
<table xmlns="http://schemas.openxmlformats.org/spreadsheetml/2006/main" ref="A5:K9" displayName="Table5_6" name="Table5_6" id="13">
  <tableColumns count="11">
    <tableColumn name="Emp ID" id="1"/>
    <tableColumn name="Employee Name" id="2"/>
    <tableColumn name="Contact " id="3"/>
    <tableColumn name="Department" id="4"/>
    <tableColumn name="Designation" id="5"/>
    <tableColumn name="Basic Salary" id="6"/>
    <tableColumn name="Per Day Salary" id="7"/>
    <tableColumn name="Per Hour Salary" id="8"/>
    <tableColumn name="Total Hours" id="9"/>
    <tableColumn name="Total  OT (hrs)" id="10"/>
    <tableColumn name="Salary Earned" id="11"/>
  </tableColumns>
  <tableStyleInfo name="06-2026-style" showColumnStripes="0" showFirstColumn="1" showLastColumn="1" showRowStripes="1"/>
</table>
</file>

<file path=xl/tables/table14.xml><?xml version="1.0" encoding="utf-8"?>
<table xmlns="http://schemas.openxmlformats.org/spreadsheetml/2006/main" ref="A10:M67" displayName="Table6_6" name="Table6_6" id="14">
  <autoFilter ref="$A$10:$M$67"/>
  <tableColumns count="13">
    <tableColumn name="Date" id="1"/>
    <tableColumn name="Employee ID" id="2"/>
    <tableColumn name="Employee Name" id="3"/>
    <tableColumn name="Check-In" id="4"/>
    <tableColumn name="Break Start" id="5"/>
    <tableColumn name="Break End" id="6"/>
    <tableColumn name="Check-Out" id="7"/>
    <tableColumn name="Total Break (hrs)" id="8"/>
    <tableColumn name="Total Working (hrs)" id="9"/>
    <tableColumn name="Net Working (hrs)" id="10"/>
    <tableColumn name="Over Time (hrs)" id="11"/>
    <tableColumn name="NW (For Calc)" id="12"/>
    <tableColumn name="Ot (For Calc)" id="13"/>
  </tableColumns>
  <tableStyleInfo name="06-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9.63"/>
    <col customWidth="1" min="3" max="3" width="15.25"/>
    <col customWidth="1" min="4" max="4" width="18.0"/>
    <col customWidth="1" min="5" max="5" width="23.75"/>
    <col customWidth="1" min="6" max="6" width="14.75"/>
    <col customWidth="1" min="7" max="7" width="13.63"/>
    <col customWidth="1" min="8" max="8" width="14.5"/>
    <col customWidth="1" min="9" max="9" width="11.38"/>
    <col customWidth="1" min="10" max="10" width="13.38"/>
    <col customWidth="1" min="11" max="26" width="7.63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7"/>
      <c r="F2" s="7"/>
      <c r="G2" s="7"/>
      <c r="H2" s="8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9"/>
      <c r="G3" s="10"/>
      <c r="H3" s="10"/>
      <c r="I3" s="10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9"/>
      <c r="G4" s="10"/>
      <c r="H4" s="10"/>
      <c r="I4" s="10"/>
      <c r="J4" s="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3" t="s">
        <v>7</v>
      </c>
      <c r="H5" s="13" t="s">
        <v>8</v>
      </c>
      <c r="I5" s="14"/>
      <c r="J5" s="1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2.5" customHeight="1">
      <c r="A6" s="17"/>
      <c r="B6" s="17"/>
      <c r="C6" s="17"/>
      <c r="D6" s="18"/>
      <c r="E6" s="18"/>
      <c r="F6" s="19"/>
      <c r="G6" s="20"/>
      <c r="H6" s="20"/>
      <c r="I6" s="14"/>
      <c r="J6" s="15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2.5" customHeight="1">
      <c r="A7" s="21">
        <v>1.0</v>
      </c>
      <c r="B7" s="22" t="s">
        <v>9</v>
      </c>
      <c r="C7" s="23">
        <v>9.023270731E9</v>
      </c>
      <c r="D7" s="24" t="s">
        <v>10</v>
      </c>
      <c r="E7" s="24" t="s">
        <v>11</v>
      </c>
      <c r="F7" s="25">
        <v>17000.0</v>
      </c>
      <c r="G7" s="26">
        <f t="shared" ref="G7:G9" si="1">F7/26</f>
        <v>653.8461538</v>
      </c>
      <c r="H7" s="26">
        <f t="shared" ref="H7:H9" si="2">G7/11</f>
        <v>59.44055944</v>
      </c>
      <c r="I7" s="10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21">
        <v>2.0</v>
      </c>
      <c r="B8" s="22" t="s">
        <v>12</v>
      </c>
      <c r="C8" s="27"/>
      <c r="D8" s="24" t="s">
        <v>10</v>
      </c>
      <c r="E8" s="24" t="s">
        <v>11</v>
      </c>
      <c r="F8" s="28">
        <v>18000.0</v>
      </c>
      <c r="G8" s="26">
        <f t="shared" si="1"/>
        <v>692.3076923</v>
      </c>
      <c r="H8" s="26">
        <f t="shared" si="2"/>
        <v>62.93706294</v>
      </c>
      <c r="I8" s="10"/>
      <c r="J8" s="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21">
        <v>3.0</v>
      </c>
      <c r="B9" s="22" t="s">
        <v>13</v>
      </c>
      <c r="C9" s="23">
        <v>6.206577886E9</v>
      </c>
      <c r="D9" s="24" t="s">
        <v>10</v>
      </c>
      <c r="E9" s="24" t="s">
        <v>11</v>
      </c>
      <c r="F9" s="28">
        <v>21000.0</v>
      </c>
      <c r="G9" s="26">
        <f t="shared" si="1"/>
        <v>807.6923077</v>
      </c>
      <c r="H9" s="26">
        <f t="shared" si="2"/>
        <v>73.42657343</v>
      </c>
      <c r="I9" s="10"/>
      <c r="J9" s="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9"/>
      <c r="G10" s="10"/>
      <c r="H10" s="10"/>
      <c r="I10" s="10"/>
      <c r="J10" s="9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9"/>
      <c r="G11" s="10"/>
      <c r="H11" s="10"/>
      <c r="I11" s="10"/>
      <c r="J11" s="9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9"/>
      <c r="G12" s="10"/>
      <c r="H12" s="10"/>
      <c r="I12" s="10"/>
      <c r="J12" s="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9"/>
      <c r="G13" s="10"/>
      <c r="H13" s="10"/>
      <c r="I13" s="10"/>
      <c r="J13" s="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9"/>
      <c r="G14" s="10"/>
      <c r="H14" s="10"/>
      <c r="I14" s="10"/>
      <c r="J14" s="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9"/>
      <c r="G15" s="10"/>
      <c r="H15" s="10"/>
      <c r="I15" s="10"/>
      <c r="J15" s="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9"/>
      <c r="G16" s="10"/>
      <c r="H16" s="10"/>
      <c r="I16" s="10"/>
      <c r="J16" s="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9"/>
      <c r="G17" s="10"/>
      <c r="H17" s="10"/>
      <c r="I17" s="10"/>
      <c r="J17" s="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9"/>
      <c r="G18" s="10"/>
      <c r="H18" s="10"/>
      <c r="I18" s="10"/>
      <c r="J18" s="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9"/>
      <c r="G19" s="10"/>
      <c r="H19" s="10"/>
      <c r="I19" s="10"/>
      <c r="J19" s="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9"/>
      <c r="G20" s="10"/>
      <c r="H20" s="10"/>
      <c r="I20" s="10"/>
      <c r="J20" s="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9"/>
      <c r="G21" s="10"/>
      <c r="H21" s="10"/>
      <c r="I21" s="10"/>
      <c r="J21" s="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9"/>
      <c r="G22" s="10"/>
      <c r="H22" s="10"/>
      <c r="I22" s="10"/>
      <c r="J22" s="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9"/>
      <c r="G23" s="10"/>
      <c r="H23" s="10"/>
      <c r="I23" s="10"/>
      <c r="J23" s="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9"/>
      <c r="G24" s="10"/>
      <c r="H24" s="10"/>
      <c r="I24" s="10"/>
      <c r="J24" s="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9"/>
      <c r="G25" s="10"/>
      <c r="H25" s="10"/>
      <c r="I25" s="10"/>
      <c r="J25" s="9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9"/>
      <c r="G26" s="10"/>
      <c r="H26" s="10"/>
      <c r="I26" s="10"/>
      <c r="J26" s="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9"/>
      <c r="G27" s="10"/>
      <c r="H27" s="10"/>
      <c r="I27" s="10"/>
      <c r="J27" s="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9"/>
      <c r="G28" s="10"/>
      <c r="H28" s="10"/>
      <c r="I28" s="10"/>
      <c r="J28" s="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9"/>
      <c r="G29" s="10"/>
      <c r="H29" s="10"/>
      <c r="I29" s="10"/>
      <c r="J29" s="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9"/>
      <c r="G30" s="10"/>
      <c r="H30" s="10"/>
      <c r="I30" s="10"/>
      <c r="J30" s="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9"/>
      <c r="G31" s="10"/>
      <c r="H31" s="10"/>
      <c r="I31" s="10"/>
      <c r="J31" s="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9"/>
      <c r="G32" s="10"/>
      <c r="H32" s="10"/>
      <c r="I32" s="10"/>
      <c r="J32" s="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9"/>
      <c r="G33" s="10"/>
      <c r="H33" s="10"/>
      <c r="I33" s="10"/>
      <c r="J33" s="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9"/>
      <c r="G34" s="10"/>
      <c r="H34" s="10"/>
      <c r="I34" s="10"/>
      <c r="J34" s="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9"/>
      <c r="G35" s="10"/>
      <c r="H35" s="10"/>
      <c r="I35" s="10"/>
      <c r="J35" s="9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9"/>
      <c r="G36" s="10"/>
      <c r="H36" s="10"/>
      <c r="I36" s="10"/>
      <c r="J36" s="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9"/>
      <c r="G37" s="10"/>
      <c r="H37" s="10"/>
      <c r="I37" s="10"/>
      <c r="J37" s="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9"/>
      <c r="G38" s="10"/>
      <c r="H38" s="10"/>
      <c r="I38" s="10"/>
      <c r="J38" s="9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9"/>
      <c r="G39" s="10"/>
      <c r="H39" s="10"/>
      <c r="I39" s="10"/>
      <c r="J39" s="9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9"/>
      <c r="G40" s="10"/>
      <c r="H40" s="10"/>
      <c r="I40" s="10"/>
      <c r="J40" s="9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9"/>
      <c r="G41" s="10"/>
      <c r="H41" s="10"/>
      <c r="I41" s="10"/>
      <c r="J41" s="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9"/>
      <c r="G42" s="10"/>
      <c r="H42" s="10"/>
      <c r="I42" s="10"/>
      <c r="J42" s="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9"/>
      <c r="G43" s="10"/>
      <c r="H43" s="10"/>
      <c r="I43" s="10"/>
      <c r="J43" s="9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9"/>
      <c r="G44" s="10"/>
      <c r="H44" s="10"/>
      <c r="I44" s="10"/>
      <c r="J44" s="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9"/>
      <c r="G45" s="10"/>
      <c r="H45" s="10"/>
      <c r="I45" s="10"/>
      <c r="J45" s="9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9"/>
      <c r="G46" s="10"/>
      <c r="H46" s="10"/>
      <c r="I46" s="10"/>
      <c r="J46" s="9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9"/>
      <c r="G47" s="10"/>
      <c r="H47" s="10"/>
      <c r="I47" s="10"/>
      <c r="J47" s="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9"/>
      <c r="G48" s="10"/>
      <c r="H48" s="10"/>
      <c r="I48" s="10"/>
      <c r="J48" s="9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9"/>
      <c r="G49" s="10"/>
      <c r="H49" s="10"/>
      <c r="I49" s="10"/>
      <c r="J49" s="9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9"/>
      <c r="G50" s="10"/>
      <c r="H50" s="10"/>
      <c r="I50" s="10"/>
      <c r="J50" s="9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9"/>
      <c r="G51" s="10"/>
      <c r="H51" s="10"/>
      <c r="I51" s="10"/>
      <c r="J51" s="9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9"/>
      <c r="G52" s="10"/>
      <c r="H52" s="10"/>
      <c r="I52" s="10"/>
      <c r="J52" s="9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9"/>
      <c r="G53" s="10"/>
      <c r="H53" s="10"/>
      <c r="I53" s="10"/>
      <c r="J53" s="9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9"/>
      <c r="G54" s="10"/>
      <c r="H54" s="10"/>
      <c r="I54" s="10"/>
      <c r="J54" s="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9"/>
      <c r="G55" s="10"/>
      <c r="H55" s="10"/>
      <c r="I55" s="10"/>
      <c r="J55" s="9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9"/>
      <c r="G56" s="10"/>
      <c r="H56" s="10"/>
      <c r="I56" s="10"/>
      <c r="J56" s="9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9"/>
      <c r="G57" s="10"/>
      <c r="H57" s="10"/>
      <c r="I57" s="10"/>
      <c r="J57" s="9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9"/>
      <c r="G58" s="10"/>
      <c r="H58" s="10"/>
      <c r="I58" s="10"/>
      <c r="J58" s="9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9"/>
      <c r="G59" s="10"/>
      <c r="H59" s="10"/>
      <c r="I59" s="10"/>
      <c r="J59" s="9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9"/>
      <c r="G60" s="10"/>
      <c r="H60" s="10"/>
      <c r="I60" s="10"/>
      <c r="J60" s="9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9"/>
      <c r="G61" s="10"/>
      <c r="H61" s="10"/>
      <c r="I61" s="10"/>
      <c r="J61" s="9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9"/>
      <c r="G62" s="10"/>
      <c r="H62" s="10"/>
      <c r="I62" s="10"/>
      <c r="J62" s="9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9"/>
      <c r="G63" s="10"/>
      <c r="H63" s="10"/>
      <c r="I63" s="10"/>
      <c r="J63" s="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9"/>
      <c r="G64" s="10"/>
      <c r="H64" s="10"/>
      <c r="I64" s="10"/>
      <c r="J64" s="9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9"/>
      <c r="G65" s="10"/>
      <c r="H65" s="10"/>
      <c r="I65" s="10"/>
      <c r="J65" s="9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9"/>
      <c r="G66" s="10"/>
      <c r="H66" s="10"/>
      <c r="I66" s="10"/>
      <c r="J66" s="9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9"/>
      <c r="G67" s="10"/>
      <c r="H67" s="10"/>
      <c r="I67" s="10"/>
      <c r="J67" s="9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9"/>
      <c r="G68" s="10"/>
      <c r="H68" s="10"/>
      <c r="I68" s="10"/>
      <c r="J68" s="9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9"/>
      <c r="G69" s="10"/>
      <c r="H69" s="10"/>
      <c r="I69" s="10"/>
      <c r="J69" s="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9"/>
      <c r="G70" s="10"/>
      <c r="H70" s="10"/>
      <c r="I70" s="10"/>
      <c r="J70" s="9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9"/>
      <c r="G71" s="10"/>
      <c r="H71" s="10"/>
      <c r="I71" s="10"/>
      <c r="J71" s="9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9"/>
      <c r="G72" s="10"/>
      <c r="H72" s="10"/>
      <c r="I72" s="10"/>
      <c r="J72" s="9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9"/>
      <c r="G73" s="10"/>
      <c r="H73" s="10"/>
      <c r="I73" s="10"/>
      <c r="J73" s="9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9"/>
      <c r="G74" s="10"/>
      <c r="H74" s="10"/>
      <c r="I74" s="10"/>
      <c r="J74" s="9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9"/>
      <c r="G75" s="10"/>
      <c r="H75" s="10"/>
      <c r="I75" s="10"/>
      <c r="J75" s="9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9"/>
      <c r="G76" s="10"/>
      <c r="H76" s="10"/>
      <c r="I76" s="10"/>
      <c r="J76" s="9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9"/>
      <c r="G77" s="10"/>
      <c r="H77" s="10"/>
      <c r="I77" s="10"/>
      <c r="J77" s="9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9"/>
      <c r="G78" s="10"/>
      <c r="H78" s="10"/>
      <c r="I78" s="10"/>
      <c r="J78" s="9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9"/>
      <c r="G79" s="10"/>
      <c r="H79" s="10"/>
      <c r="I79" s="10"/>
      <c r="J79" s="9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9"/>
      <c r="G80" s="10"/>
      <c r="H80" s="10"/>
      <c r="I80" s="10"/>
      <c r="J80" s="9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9"/>
      <c r="G81" s="10"/>
      <c r="H81" s="10"/>
      <c r="I81" s="10"/>
      <c r="J81" s="9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9"/>
      <c r="G82" s="10"/>
      <c r="H82" s="10"/>
      <c r="I82" s="10"/>
      <c r="J82" s="9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9"/>
      <c r="G83" s="10"/>
      <c r="H83" s="10"/>
      <c r="I83" s="10"/>
      <c r="J83" s="9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9"/>
      <c r="G84" s="10"/>
      <c r="H84" s="10"/>
      <c r="I84" s="10"/>
      <c r="J84" s="9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9"/>
      <c r="G85" s="10"/>
      <c r="H85" s="10"/>
      <c r="I85" s="10"/>
      <c r="J85" s="9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9"/>
      <c r="G86" s="10"/>
      <c r="H86" s="10"/>
      <c r="I86" s="10"/>
      <c r="J86" s="9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9"/>
      <c r="G87" s="10"/>
      <c r="H87" s="10"/>
      <c r="I87" s="10"/>
      <c r="J87" s="9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9"/>
      <c r="G88" s="10"/>
      <c r="H88" s="10"/>
      <c r="I88" s="10"/>
      <c r="J88" s="9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9"/>
      <c r="G89" s="10"/>
      <c r="H89" s="10"/>
      <c r="I89" s="10"/>
      <c r="J89" s="9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9"/>
      <c r="G90" s="10"/>
      <c r="H90" s="10"/>
      <c r="I90" s="10"/>
      <c r="J90" s="9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9"/>
      <c r="G91" s="10"/>
      <c r="H91" s="10"/>
      <c r="I91" s="10"/>
      <c r="J91" s="9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9"/>
      <c r="G92" s="10"/>
      <c r="H92" s="10"/>
      <c r="I92" s="10"/>
      <c r="J92" s="9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9"/>
      <c r="G93" s="10"/>
      <c r="H93" s="10"/>
      <c r="I93" s="10"/>
      <c r="J93" s="9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9"/>
      <c r="G94" s="10"/>
      <c r="H94" s="10"/>
      <c r="I94" s="10"/>
      <c r="J94" s="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9"/>
      <c r="G95" s="10"/>
      <c r="H95" s="10"/>
      <c r="I95" s="10"/>
      <c r="J95" s="9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9"/>
      <c r="G96" s="10"/>
      <c r="H96" s="10"/>
      <c r="I96" s="10"/>
      <c r="J96" s="9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9"/>
      <c r="G97" s="10"/>
      <c r="H97" s="10"/>
      <c r="I97" s="10"/>
      <c r="J97" s="9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9"/>
      <c r="G98" s="10"/>
      <c r="H98" s="10"/>
      <c r="I98" s="10"/>
      <c r="J98" s="9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9"/>
      <c r="G99" s="10"/>
      <c r="H99" s="10"/>
      <c r="I99" s="10"/>
      <c r="J99" s="9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9"/>
      <c r="G100" s="10"/>
      <c r="H100" s="10"/>
      <c r="I100" s="10"/>
      <c r="J100" s="9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9"/>
      <c r="G101" s="10"/>
      <c r="H101" s="10"/>
      <c r="I101" s="10"/>
      <c r="J101" s="9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9"/>
      <c r="G102" s="10"/>
      <c r="H102" s="10"/>
      <c r="I102" s="10"/>
      <c r="J102" s="9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9"/>
      <c r="G103" s="10"/>
      <c r="H103" s="10"/>
      <c r="I103" s="10"/>
      <c r="J103" s="9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9"/>
      <c r="G104" s="10"/>
      <c r="H104" s="10"/>
      <c r="I104" s="10"/>
      <c r="J104" s="9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9"/>
      <c r="G105" s="10"/>
      <c r="H105" s="10"/>
      <c r="I105" s="10"/>
      <c r="J105" s="9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9"/>
      <c r="G106" s="10"/>
      <c r="H106" s="10"/>
      <c r="I106" s="10"/>
      <c r="J106" s="9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9"/>
      <c r="G107" s="10"/>
      <c r="H107" s="10"/>
      <c r="I107" s="10"/>
      <c r="J107" s="9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9"/>
      <c r="G108" s="10"/>
      <c r="H108" s="10"/>
      <c r="I108" s="10"/>
      <c r="J108" s="9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9"/>
      <c r="G109" s="10"/>
      <c r="H109" s="10"/>
      <c r="I109" s="10"/>
      <c r="J109" s="9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9"/>
      <c r="G110" s="10"/>
      <c r="H110" s="10"/>
      <c r="I110" s="10"/>
      <c r="J110" s="9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9"/>
      <c r="G111" s="10"/>
      <c r="H111" s="10"/>
      <c r="I111" s="10"/>
      <c r="J111" s="9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9"/>
      <c r="G112" s="10"/>
      <c r="H112" s="10"/>
      <c r="I112" s="10"/>
      <c r="J112" s="9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9"/>
      <c r="G113" s="10"/>
      <c r="H113" s="10"/>
      <c r="I113" s="10"/>
      <c r="J113" s="9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9"/>
      <c r="G114" s="10"/>
      <c r="H114" s="10"/>
      <c r="I114" s="10"/>
      <c r="J114" s="9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9"/>
      <c r="G115" s="10"/>
      <c r="H115" s="10"/>
      <c r="I115" s="10"/>
      <c r="J115" s="9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9"/>
      <c r="G116" s="10"/>
      <c r="H116" s="10"/>
      <c r="I116" s="10"/>
      <c r="J116" s="9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9"/>
      <c r="G117" s="10"/>
      <c r="H117" s="10"/>
      <c r="I117" s="10"/>
      <c r="J117" s="9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9"/>
      <c r="G118" s="10"/>
      <c r="H118" s="10"/>
      <c r="I118" s="10"/>
      <c r="J118" s="9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9"/>
      <c r="G119" s="10"/>
      <c r="H119" s="10"/>
      <c r="I119" s="10"/>
      <c r="J119" s="9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9"/>
      <c r="G120" s="10"/>
      <c r="H120" s="10"/>
      <c r="I120" s="10"/>
      <c r="J120" s="9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9"/>
      <c r="G121" s="10"/>
      <c r="H121" s="10"/>
      <c r="I121" s="10"/>
      <c r="J121" s="9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9"/>
      <c r="G122" s="10"/>
      <c r="H122" s="10"/>
      <c r="I122" s="10"/>
      <c r="J122" s="9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9"/>
      <c r="G123" s="10"/>
      <c r="H123" s="10"/>
      <c r="I123" s="10"/>
      <c r="J123" s="9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9"/>
      <c r="G124" s="10"/>
      <c r="H124" s="10"/>
      <c r="I124" s="10"/>
      <c r="J124" s="9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9"/>
      <c r="G125" s="10"/>
      <c r="H125" s="10"/>
      <c r="I125" s="10"/>
      <c r="J125" s="9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9"/>
      <c r="G126" s="10"/>
      <c r="H126" s="10"/>
      <c r="I126" s="10"/>
      <c r="J126" s="9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9"/>
      <c r="G127" s="10"/>
      <c r="H127" s="10"/>
      <c r="I127" s="10"/>
      <c r="J127" s="9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9"/>
      <c r="G128" s="10"/>
      <c r="H128" s="10"/>
      <c r="I128" s="10"/>
      <c r="J128" s="9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9"/>
      <c r="G129" s="10"/>
      <c r="H129" s="10"/>
      <c r="I129" s="10"/>
      <c r="J129" s="9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9"/>
      <c r="G130" s="10"/>
      <c r="H130" s="10"/>
      <c r="I130" s="10"/>
      <c r="J130" s="9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9"/>
      <c r="G131" s="10"/>
      <c r="H131" s="10"/>
      <c r="I131" s="10"/>
      <c r="J131" s="9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9"/>
      <c r="G132" s="10"/>
      <c r="H132" s="10"/>
      <c r="I132" s="10"/>
      <c r="J132" s="9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9"/>
      <c r="G133" s="10"/>
      <c r="H133" s="10"/>
      <c r="I133" s="10"/>
      <c r="J133" s="9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9"/>
      <c r="G134" s="10"/>
      <c r="H134" s="10"/>
      <c r="I134" s="10"/>
      <c r="J134" s="9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9"/>
      <c r="G135" s="10"/>
      <c r="H135" s="10"/>
      <c r="I135" s="10"/>
      <c r="J135" s="9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9"/>
      <c r="G136" s="10"/>
      <c r="H136" s="10"/>
      <c r="I136" s="10"/>
      <c r="J136" s="9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9"/>
      <c r="G137" s="10"/>
      <c r="H137" s="10"/>
      <c r="I137" s="10"/>
      <c r="J137" s="9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9"/>
      <c r="G138" s="10"/>
      <c r="H138" s="10"/>
      <c r="I138" s="10"/>
      <c r="J138" s="9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9"/>
      <c r="G139" s="10"/>
      <c r="H139" s="10"/>
      <c r="I139" s="10"/>
      <c r="J139" s="9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9"/>
      <c r="G140" s="10"/>
      <c r="H140" s="10"/>
      <c r="I140" s="10"/>
      <c r="J140" s="9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9"/>
      <c r="G141" s="10"/>
      <c r="H141" s="10"/>
      <c r="I141" s="10"/>
      <c r="J141" s="9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9"/>
      <c r="G142" s="10"/>
      <c r="H142" s="10"/>
      <c r="I142" s="10"/>
      <c r="J142" s="9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9"/>
      <c r="G143" s="10"/>
      <c r="H143" s="10"/>
      <c r="I143" s="10"/>
      <c r="J143" s="9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9"/>
      <c r="G144" s="10"/>
      <c r="H144" s="10"/>
      <c r="I144" s="10"/>
      <c r="J144" s="9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9"/>
      <c r="G145" s="10"/>
      <c r="H145" s="10"/>
      <c r="I145" s="10"/>
      <c r="J145" s="9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9"/>
      <c r="G146" s="10"/>
      <c r="H146" s="10"/>
      <c r="I146" s="10"/>
      <c r="J146" s="9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9"/>
      <c r="G147" s="10"/>
      <c r="H147" s="10"/>
      <c r="I147" s="10"/>
      <c r="J147" s="9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9"/>
      <c r="G148" s="10"/>
      <c r="H148" s="10"/>
      <c r="I148" s="10"/>
      <c r="J148" s="9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9"/>
      <c r="G149" s="10"/>
      <c r="H149" s="10"/>
      <c r="I149" s="10"/>
      <c r="J149" s="9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9"/>
      <c r="G150" s="10"/>
      <c r="H150" s="10"/>
      <c r="I150" s="10"/>
      <c r="J150" s="9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9"/>
      <c r="G151" s="10"/>
      <c r="H151" s="10"/>
      <c r="I151" s="10"/>
      <c r="J151" s="9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9"/>
      <c r="G152" s="10"/>
      <c r="H152" s="10"/>
      <c r="I152" s="10"/>
      <c r="J152" s="9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9"/>
      <c r="G153" s="10"/>
      <c r="H153" s="10"/>
      <c r="I153" s="10"/>
      <c r="J153" s="9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9"/>
      <c r="G154" s="10"/>
      <c r="H154" s="10"/>
      <c r="I154" s="10"/>
      <c r="J154" s="9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9"/>
      <c r="G155" s="10"/>
      <c r="H155" s="10"/>
      <c r="I155" s="10"/>
      <c r="J155" s="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9"/>
      <c r="G156" s="10"/>
      <c r="H156" s="10"/>
      <c r="I156" s="10"/>
      <c r="J156" s="9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9"/>
      <c r="G157" s="10"/>
      <c r="H157" s="10"/>
      <c r="I157" s="10"/>
      <c r="J157" s="9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9"/>
      <c r="G158" s="10"/>
      <c r="H158" s="10"/>
      <c r="I158" s="10"/>
      <c r="J158" s="9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9"/>
      <c r="G159" s="10"/>
      <c r="H159" s="10"/>
      <c r="I159" s="10"/>
      <c r="J159" s="9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9"/>
      <c r="G160" s="10"/>
      <c r="H160" s="10"/>
      <c r="I160" s="10"/>
      <c r="J160" s="9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9"/>
      <c r="G161" s="10"/>
      <c r="H161" s="10"/>
      <c r="I161" s="10"/>
      <c r="J161" s="9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9"/>
      <c r="G162" s="10"/>
      <c r="H162" s="10"/>
      <c r="I162" s="10"/>
      <c r="J162" s="9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9"/>
      <c r="G163" s="10"/>
      <c r="H163" s="10"/>
      <c r="I163" s="10"/>
      <c r="J163" s="9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9"/>
      <c r="G164" s="10"/>
      <c r="H164" s="10"/>
      <c r="I164" s="10"/>
      <c r="J164" s="9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9"/>
      <c r="G165" s="10"/>
      <c r="H165" s="10"/>
      <c r="I165" s="10"/>
      <c r="J165" s="9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9"/>
      <c r="G166" s="10"/>
      <c r="H166" s="10"/>
      <c r="I166" s="10"/>
      <c r="J166" s="9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9"/>
      <c r="G167" s="10"/>
      <c r="H167" s="10"/>
      <c r="I167" s="10"/>
      <c r="J167" s="9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9"/>
      <c r="G168" s="10"/>
      <c r="H168" s="10"/>
      <c r="I168" s="10"/>
      <c r="J168" s="9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9"/>
      <c r="G169" s="10"/>
      <c r="H169" s="10"/>
      <c r="I169" s="10"/>
      <c r="J169" s="9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9"/>
      <c r="G170" s="10"/>
      <c r="H170" s="10"/>
      <c r="I170" s="10"/>
      <c r="J170" s="9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9"/>
      <c r="G171" s="10"/>
      <c r="H171" s="10"/>
      <c r="I171" s="10"/>
      <c r="J171" s="9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9"/>
      <c r="G172" s="10"/>
      <c r="H172" s="10"/>
      <c r="I172" s="10"/>
      <c r="J172" s="9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9"/>
      <c r="G173" s="10"/>
      <c r="H173" s="10"/>
      <c r="I173" s="10"/>
      <c r="J173" s="9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9"/>
      <c r="G174" s="10"/>
      <c r="H174" s="10"/>
      <c r="I174" s="10"/>
      <c r="J174" s="9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9"/>
      <c r="G175" s="10"/>
      <c r="H175" s="10"/>
      <c r="I175" s="10"/>
      <c r="J175" s="9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9"/>
      <c r="G176" s="10"/>
      <c r="H176" s="10"/>
      <c r="I176" s="10"/>
      <c r="J176" s="9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9"/>
      <c r="G177" s="10"/>
      <c r="H177" s="10"/>
      <c r="I177" s="10"/>
      <c r="J177" s="9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9"/>
      <c r="G178" s="10"/>
      <c r="H178" s="10"/>
      <c r="I178" s="10"/>
      <c r="J178" s="9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9"/>
      <c r="G179" s="10"/>
      <c r="H179" s="10"/>
      <c r="I179" s="10"/>
      <c r="J179" s="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9"/>
      <c r="G180" s="10"/>
      <c r="H180" s="10"/>
      <c r="I180" s="10"/>
      <c r="J180" s="9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9"/>
      <c r="G181" s="10"/>
      <c r="H181" s="10"/>
      <c r="I181" s="10"/>
      <c r="J181" s="9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9"/>
      <c r="G182" s="10"/>
      <c r="H182" s="10"/>
      <c r="I182" s="10"/>
      <c r="J182" s="9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9"/>
      <c r="G183" s="10"/>
      <c r="H183" s="10"/>
      <c r="I183" s="10"/>
      <c r="J183" s="9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9"/>
      <c r="G184" s="10"/>
      <c r="H184" s="10"/>
      <c r="I184" s="10"/>
      <c r="J184" s="9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9"/>
      <c r="G185" s="10"/>
      <c r="H185" s="10"/>
      <c r="I185" s="10"/>
      <c r="J185" s="9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9"/>
      <c r="G186" s="10"/>
      <c r="H186" s="10"/>
      <c r="I186" s="10"/>
      <c r="J186" s="9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9"/>
      <c r="G187" s="10"/>
      <c r="H187" s="10"/>
      <c r="I187" s="10"/>
      <c r="J187" s="9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9"/>
      <c r="G188" s="10"/>
      <c r="H188" s="10"/>
      <c r="I188" s="10"/>
      <c r="J188" s="9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9"/>
      <c r="G189" s="10"/>
      <c r="H189" s="10"/>
      <c r="I189" s="10"/>
      <c r="J189" s="9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9"/>
      <c r="G190" s="10"/>
      <c r="H190" s="10"/>
      <c r="I190" s="10"/>
      <c r="J190" s="9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9"/>
      <c r="G191" s="10"/>
      <c r="H191" s="10"/>
      <c r="I191" s="10"/>
      <c r="J191" s="9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9"/>
      <c r="G192" s="10"/>
      <c r="H192" s="10"/>
      <c r="I192" s="10"/>
      <c r="J192" s="9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9"/>
      <c r="G193" s="10"/>
      <c r="H193" s="10"/>
      <c r="I193" s="10"/>
      <c r="J193" s="9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9"/>
      <c r="G194" s="10"/>
      <c r="H194" s="10"/>
      <c r="I194" s="10"/>
      <c r="J194" s="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9"/>
      <c r="G195" s="10"/>
      <c r="H195" s="10"/>
      <c r="I195" s="10"/>
      <c r="J195" s="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9"/>
      <c r="G196" s="10"/>
      <c r="H196" s="10"/>
      <c r="I196" s="10"/>
      <c r="J196" s="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9"/>
      <c r="G197" s="10"/>
      <c r="H197" s="10"/>
      <c r="I197" s="10"/>
      <c r="J197" s="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9"/>
      <c r="G198" s="10"/>
      <c r="H198" s="10"/>
      <c r="I198" s="10"/>
      <c r="J198" s="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9"/>
      <c r="G199" s="10"/>
      <c r="H199" s="10"/>
      <c r="I199" s="10"/>
      <c r="J199" s="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9"/>
      <c r="G200" s="10"/>
      <c r="H200" s="10"/>
      <c r="I200" s="10"/>
      <c r="J200" s="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9"/>
      <c r="G201" s="10"/>
      <c r="H201" s="10"/>
      <c r="I201" s="10"/>
      <c r="J201" s="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9"/>
      <c r="G202" s="10"/>
      <c r="H202" s="10"/>
      <c r="I202" s="10"/>
      <c r="J202" s="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9"/>
      <c r="G203" s="10"/>
      <c r="H203" s="10"/>
      <c r="I203" s="10"/>
      <c r="J203" s="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9"/>
      <c r="G204" s="10"/>
      <c r="H204" s="10"/>
      <c r="I204" s="10"/>
      <c r="J204" s="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9"/>
      <c r="G205" s="10"/>
      <c r="H205" s="10"/>
      <c r="I205" s="10"/>
      <c r="J205" s="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9"/>
      <c r="G206" s="10"/>
      <c r="H206" s="10"/>
      <c r="I206" s="10"/>
      <c r="J206" s="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9"/>
      <c r="G207" s="10"/>
      <c r="H207" s="10"/>
      <c r="I207" s="10"/>
      <c r="J207" s="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9"/>
      <c r="G208" s="10"/>
      <c r="H208" s="10"/>
      <c r="I208" s="10"/>
      <c r="J208" s="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9"/>
      <c r="G209" s="10"/>
      <c r="H209" s="10"/>
      <c r="I209" s="10"/>
      <c r="J209" s="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9"/>
      <c r="G210" s="10"/>
      <c r="H210" s="10"/>
      <c r="I210" s="10"/>
      <c r="J210" s="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9"/>
      <c r="G211" s="10"/>
      <c r="H211" s="10"/>
      <c r="I211" s="10"/>
      <c r="J211" s="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9"/>
      <c r="G212" s="10"/>
      <c r="H212" s="10"/>
      <c r="I212" s="10"/>
      <c r="J212" s="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9"/>
      <c r="G213" s="10"/>
      <c r="H213" s="10"/>
      <c r="I213" s="10"/>
      <c r="J213" s="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9"/>
      <c r="G214" s="10"/>
      <c r="H214" s="10"/>
      <c r="I214" s="10"/>
      <c r="J214" s="9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9"/>
      <c r="G215" s="10"/>
      <c r="H215" s="10"/>
      <c r="I215" s="10"/>
      <c r="J215" s="9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9"/>
      <c r="G216" s="10"/>
      <c r="H216" s="10"/>
      <c r="I216" s="10"/>
      <c r="J216" s="9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9"/>
      <c r="G217" s="10"/>
      <c r="H217" s="10"/>
      <c r="I217" s="10"/>
      <c r="J217" s="9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9"/>
      <c r="G218" s="10"/>
      <c r="H218" s="10"/>
      <c r="I218" s="10"/>
      <c r="J218" s="9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9"/>
      <c r="G219" s="10"/>
      <c r="H219" s="10"/>
      <c r="I219" s="10"/>
      <c r="J219" s="9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9"/>
      <c r="G220" s="10"/>
      <c r="H220" s="10"/>
      <c r="I220" s="10"/>
      <c r="J220" s="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9"/>
      <c r="G221" s="10"/>
      <c r="H221" s="10"/>
      <c r="I221" s="10"/>
      <c r="J221" s="9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9"/>
      <c r="G222" s="10"/>
      <c r="H222" s="10"/>
      <c r="I222" s="10"/>
      <c r="J222" s="9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9"/>
      <c r="G223" s="10"/>
      <c r="H223" s="10"/>
      <c r="I223" s="10"/>
      <c r="J223" s="9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9"/>
      <c r="G224" s="10"/>
      <c r="H224" s="10"/>
      <c r="I224" s="10"/>
      <c r="J224" s="9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9"/>
      <c r="G225" s="10"/>
      <c r="H225" s="10"/>
      <c r="I225" s="10"/>
      <c r="J225" s="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9"/>
      <c r="G226" s="10"/>
      <c r="H226" s="10"/>
      <c r="I226" s="10"/>
      <c r="J226" s="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9"/>
      <c r="G227" s="10"/>
      <c r="H227" s="10"/>
      <c r="I227" s="10"/>
      <c r="J227" s="9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9"/>
      <c r="G228" s="10"/>
      <c r="H228" s="10"/>
      <c r="I228" s="10"/>
      <c r="J228" s="9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9"/>
      <c r="G229" s="10"/>
      <c r="H229" s="10"/>
      <c r="I229" s="10"/>
      <c r="J229" s="9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9"/>
      <c r="G230" s="10"/>
      <c r="H230" s="10"/>
      <c r="I230" s="10"/>
      <c r="J230" s="9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9"/>
      <c r="G231" s="10"/>
      <c r="H231" s="10"/>
      <c r="I231" s="10"/>
      <c r="J231" s="9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9"/>
      <c r="G232" s="10"/>
      <c r="H232" s="10"/>
      <c r="I232" s="10"/>
      <c r="J232" s="9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9"/>
      <c r="G233" s="10"/>
      <c r="H233" s="10"/>
      <c r="I233" s="10"/>
      <c r="J233" s="9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9"/>
      <c r="G234" s="10"/>
      <c r="H234" s="10"/>
      <c r="I234" s="10"/>
      <c r="J234" s="9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9"/>
      <c r="G235" s="10"/>
      <c r="H235" s="10"/>
      <c r="I235" s="10"/>
      <c r="J235" s="9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9"/>
      <c r="G236" s="10"/>
      <c r="H236" s="10"/>
      <c r="I236" s="10"/>
      <c r="J236" s="9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9"/>
      <c r="G237" s="10"/>
      <c r="H237" s="10"/>
      <c r="I237" s="10"/>
      <c r="J237" s="9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9"/>
      <c r="G238" s="10"/>
      <c r="H238" s="10"/>
      <c r="I238" s="10"/>
      <c r="J238" s="9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9"/>
      <c r="G239" s="10"/>
      <c r="H239" s="10"/>
      <c r="I239" s="10"/>
      <c r="J239" s="9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9"/>
      <c r="G240" s="10"/>
      <c r="H240" s="10"/>
      <c r="I240" s="10"/>
      <c r="J240" s="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9"/>
      <c r="G241" s="10"/>
      <c r="H241" s="10"/>
      <c r="I241" s="10"/>
      <c r="J241" s="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9"/>
      <c r="G242" s="10"/>
      <c r="H242" s="10"/>
      <c r="I242" s="10"/>
      <c r="J242" s="9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9"/>
      <c r="G243" s="10"/>
      <c r="H243" s="10"/>
      <c r="I243" s="10"/>
      <c r="J243" s="9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9"/>
      <c r="G244" s="10"/>
      <c r="H244" s="10"/>
      <c r="I244" s="10"/>
      <c r="J244" s="9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9"/>
      <c r="G245" s="10"/>
      <c r="H245" s="10"/>
      <c r="I245" s="10"/>
      <c r="J245" s="9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9"/>
      <c r="G246" s="10"/>
      <c r="H246" s="10"/>
      <c r="I246" s="10"/>
      <c r="J246" s="9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9"/>
      <c r="G247" s="10"/>
      <c r="H247" s="10"/>
      <c r="I247" s="10"/>
      <c r="J247" s="9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9"/>
      <c r="G248" s="10"/>
      <c r="H248" s="10"/>
      <c r="I248" s="10"/>
      <c r="J248" s="9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9"/>
      <c r="G249" s="10"/>
      <c r="H249" s="10"/>
      <c r="I249" s="10"/>
      <c r="J249" s="9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9"/>
      <c r="G250" s="10"/>
      <c r="H250" s="10"/>
      <c r="I250" s="10"/>
      <c r="J250" s="9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9"/>
      <c r="G251" s="10"/>
      <c r="H251" s="10"/>
      <c r="I251" s="10"/>
      <c r="J251" s="9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9"/>
      <c r="G252" s="10"/>
      <c r="H252" s="10"/>
      <c r="I252" s="10"/>
      <c r="J252" s="9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9"/>
      <c r="G253" s="10"/>
      <c r="H253" s="10"/>
      <c r="I253" s="10"/>
      <c r="J253" s="9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9"/>
      <c r="G254" s="10"/>
      <c r="H254" s="10"/>
      <c r="I254" s="10"/>
      <c r="J254" s="9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9"/>
      <c r="G255" s="10"/>
      <c r="H255" s="10"/>
      <c r="I255" s="10"/>
      <c r="J255" s="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9"/>
      <c r="G256" s="10"/>
      <c r="H256" s="10"/>
      <c r="I256" s="10"/>
      <c r="J256" s="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9"/>
      <c r="G257" s="10"/>
      <c r="H257" s="10"/>
      <c r="I257" s="10"/>
      <c r="J257" s="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9"/>
      <c r="G258" s="10"/>
      <c r="H258" s="10"/>
      <c r="I258" s="10"/>
      <c r="J258" s="9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9"/>
      <c r="G259" s="10"/>
      <c r="H259" s="10"/>
      <c r="I259" s="10"/>
      <c r="J259" s="9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9"/>
      <c r="G260" s="10"/>
      <c r="H260" s="10"/>
      <c r="I260" s="10"/>
      <c r="J260" s="9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9"/>
      <c r="G261" s="10"/>
      <c r="H261" s="10"/>
      <c r="I261" s="10"/>
      <c r="J261" s="9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9"/>
      <c r="G262" s="10"/>
      <c r="H262" s="10"/>
      <c r="I262" s="10"/>
      <c r="J262" s="9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9"/>
      <c r="G263" s="10"/>
      <c r="H263" s="10"/>
      <c r="I263" s="10"/>
      <c r="J263" s="9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9"/>
      <c r="G264" s="10"/>
      <c r="H264" s="10"/>
      <c r="I264" s="10"/>
      <c r="J264" s="9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9"/>
      <c r="G265" s="10"/>
      <c r="H265" s="10"/>
      <c r="I265" s="10"/>
      <c r="J265" s="9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9"/>
      <c r="G266" s="10"/>
      <c r="H266" s="10"/>
      <c r="I266" s="10"/>
      <c r="J266" s="9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9"/>
      <c r="G267" s="10"/>
      <c r="H267" s="10"/>
      <c r="I267" s="10"/>
      <c r="J267" s="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9"/>
      <c r="G268" s="10"/>
      <c r="H268" s="10"/>
      <c r="I268" s="10"/>
      <c r="J268" s="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9"/>
      <c r="G269" s="10"/>
      <c r="H269" s="10"/>
      <c r="I269" s="10"/>
      <c r="J269" s="9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9"/>
      <c r="G270" s="10"/>
      <c r="H270" s="10"/>
      <c r="I270" s="10"/>
      <c r="J270" s="9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9"/>
      <c r="G271" s="10"/>
      <c r="H271" s="10"/>
      <c r="I271" s="10"/>
      <c r="J271" s="9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9"/>
      <c r="G272" s="10"/>
      <c r="H272" s="10"/>
      <c r="I272" s="10"/>
      <c r="J272" s="9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9"/>
      <c r="G273" s="10"/>
      <c r="H273" s="10"/>
      <c r="I273" s="10"/>
      <c r="J273" s="9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9"/>
      <c r="G274" s="10"/>
      <c r="H274" s="10"/>
      <c r="I274" s="10"/>
      <c r="J274" s="9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9"/>
      <c r="G275" s="10"/>
      <c r="H275" s="10"/>
      <c r="I275" s="10"/>
      <c r="J275" s="9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9"/>
      <c r="G276" s="10"/>
      <c r="H276" s="10"/>
      <c r="I276" s="10"/>
      <c r="J276" s="9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9"/>
      <c r="G277" s="10"/>
      <c r="H277" s="10"/>
      <c r="I277" s="10"/>
      <c r="J277" s="9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9"/>
      <c r="G278" s="10"/>
      <c r="H278" s="10"/>
      <c r="I278" s="10"/>
      <c r="J278" s="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9"/>
      <c r="G279" s="10"/>
      <c r="H279" s="10"/>
      <c r="I279" s="10"/>
      <c r="J279" s="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9"/>
      <c r="G280" s="10"/>
      <c r="H280" s="10"/>
      <c r="I280" s="10"/>
      <c r="J280" s="9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9"/>
      <c r="G281" s="10"/>
      <c r="H281" s="10"/>
      <c r="I281" s="10"/>
      <c r="J281" s="9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9"/>
      <c r="G282" s="10"/>
      <c r="H282" s="10"/>
      <c r="I282" s="10"/>
      <c r="J282" s="9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9"/>
      <c r="G283" s="10"/>
      <c r="H283" s="10"/>
      <c r="I283" s="10"/>
      <c r="J283" s="9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9"/>
      <c r="G284" s="10"/>
      <c r="H284" s="10"/>
      <c r="I284" s="10"/>
      <c r="J284" s="9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9"/>
      <c r="G285" s="10"/>
      <c r="H285" s="10"/>
      <c r="I285" s="10"/>
      <c r="J285" s="9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9"/>
      <c r="G286" s="10"/>
      <c r="H286" s="10"/>
      <c r="I286" s="10"/>
      <c r="J286" s="9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9"/>
      <c r="G287" s="10"/>
      <c r="H287" s="10"/>
      <c r="I287" s="10"/>
      <c r="J287" s="9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9"/>
      <c r="G288" s="10"/>
      <c r="H288" s="10"/>
      <c r="I288" s="10"/>
      <c r="J288" s="9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9"/>
      <c r="G289" s="10"/>
      <c r="H289" s="10"/>
      <c r="I289" s="10"/>
      <c r="J289" s="9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9"/>
      <c r="G290" s="10"/>
      <c r="H290" s="10"/>
      <c r="I290" s="10"/>
      <c r="J290" s="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9"/>
      <c r="G291" s="10"/>
      <c r="H291" s="10"/>
      <c r="I291" s="10"/>
      <c r="J291" s="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9"/>
      <c r="G292" s="10"/>
      <c r="H292" s="10"/>
      <c r="I292" s="10"/>
      <c r="J292" s="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9"/>
      <c r="G293" s="10"/>
      <c r="H293" s="10"/>
      <c r="I293" s="10"/>
      <c r="J293" s="9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9"/>
      <c r="G294" s="10"/>
      <c r="H294" s="10"/>
      <c r="I294" s="10"/>
      <c r="J294" s="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9"/>
      <c r="G295" s="10"/>
      <c r="H295" s="10"/>
      <c r="I295" s="10"/>
      <c r="J295" s="9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9"/>
      <c r="G296" s="10"/>
      <c r="H296" s="10"/>
      <c r="I296" s="10"/>
      <c r="J296" s="9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9"/>
      <c r="G297" s="10"/>
      <c r="H297" s="10"/>
      <c r="I297" s="10"/>
      <c r="J297" s="9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9"/>
      <c r="G298" s="10"/>
      <c r="H298" s="10"/>
      <c r="I298" s="10"/>
      <c r="J298" s="9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9"/>
      <c r="G299" s="10"/>
      <c r="H299" s="10"/>
      <c r="I299" s="10"/>
      <c r="J299" s="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9"/>
      <c r="G300" s="10"/>
      <c r="H300" s="10"/>
      <c r="I300" s="10"/>
      <c r="J300" s="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9"/>
      <c r="G301" s="10"/>
      <c r="H301" s="10"/>
      <c r="I301" s="10"/>
      <c r="J301" s="9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9"/>
      <c r="G302" s="10"/>
      <c r="H302" s="10"/>
      <c r="I302" s="10"/>
      <c r="J302" s="9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9"/>
      <c r="G303" s="10"/>
      <c r="H303" s="10"/>
      <c r="I303" s="10"/>
      <c r="J303" s="9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9"/>
      <c r="G304" s="10"/>
      <c r="H304" s="10"/>
      <c r="I304" s="10"/>
      <c r="J304" s="9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9"/>
      <c r="G305" s="10"/>
      <c r="H305" s="10"/>
      <c r="I305" s="10"/>
      <c r="J305" s="9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9"/>
      <c r="G306" s="10"/>
      <c r="H306" s="10"/>
      <c r="I306" s="10"/>
      <c r="J306" s="9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9"/>
      <c r="G307" s="10"/>
      <c r="H307" s="10"/>
      <c r="I307" s="10"/>
      <c r="J307" s="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9"/>
      <c r="G308" s="10"/>
      <c r="H308" s="10"/>
      <c r="I308" s="10"/>
      <c r="J308" s="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9"/>
      <c r="G309" s="10"/>
      <c r="H309" s="10"/>
      <c r="I309" s="10"/>
      <c r="J309" s="9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9"/>
      <c r="G310" s="10"/>
      <c r="H310" s="10"/>
      <c r="I310" s="10"/>
      <c r="J310" s="9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9"/>
      <c r="G311" s="10"/>
      <c r="H311" s="10"/>
      <c r="I311" s="10"/>
      <c r="J311" s="9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9"/>
      <c r="G312" s="10"/>
      <c r="H312" s="10"/>
      <c r="I312" s="10"/>
      <c r="J312" s="9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9"/>
      <c r="G313" s="10"/>
      <c r="H313" s="10"/>
      <c r="I313" s="10"/>
      <c r="J313" s="9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9"/>
      <c r="G314" s="10"/>
      <c r="H314" s="10"/>
      <c r="I314" s="10"/>
      <c r="J314" s="9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9"/>
      <c r="G315" s="10"/>
      <c r="H315" s="10"/>
      <c r="I315" s="10"/>
      <c r="J315" s="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9"/>
      <c r="G316" s="10"/>
      <c r="H316" s="10"/>
      <c r="I316" s="10"/>
      <c r="J316" s="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9"/>
      <c r="G317" s="10"/>
      <c r="H317" s="10"/>
      <c r="I317" s="10"/>
      <c r="J317" s="9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9"/>
      <c r="G318" s="10"/>
      <c r="H318" s="10"/>
      <c r="I318" s="10"/>
      <c r="J318" s="9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9"/>
      <c r="G319" s="10"/>
      <c r="H319" s="10"/>
      <c r="I319" s="10"/>
      <c r="J319" s="9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9"/>
      <c r="G320" s="10"/>
      <c r="H320" s="10"/>
      <c r="I320" s="10"/>
      <c r="J320" s="9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9"/>
      <c r="G321" s="10"/>
      <c r="H321" s="10"/>
      <c r="I321" s="10"/>
      <c r="J321" s="9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9"/>
      <c r="G322" s="10"/>
      <c r="H322" s="10"/>
      <c r="I322" s="10"/>
      <c r="J322" s="9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9"/>
      <c r="G323" s="10"/>
      <c r="H323" s="10"/>
      <c r="I323" s="10"/>
      <c r="J323" s="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9"/>
      <c r="G324" s="10"/>
      <c r="H324" s="10"/>
      <c r="I324" s="10"/>
      <c r="J324" s="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9"/>
      <c r="G325" s="10"/>
      <c r="H325" s="10"/>
      <c r="I325" s="10"/>
      <c r="J325" s="9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9"/>
      <c r="G326" s="10"/>
      <c r="H326" s="10"/>
      <c r="I326" s="10"/>
      <c r="J326" s="9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9"/>
      <c r="G327" s="10"/>
      <c r="H327" s="10"/>
      <c r="I327" s="10"/>
      <c r="J327" s="9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9"/>
      <c r="G328" s="10"/>
      <c r="H328" s="10"/>
      <c r="I328" s="10"/>
      <c r="J328" s="9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9"/>
      <c r="G329" s="10"/>
      <c r="H329" s="10"/>
      <c r="I329" s="10"/>
      <c r="J329" s="9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9"/>
      <c r="G330" s="10"/>
      <c r="H330" s="10"/>
      <c r="I330" s="10"/>
      <c r="J330" s="9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9"/>
      <c r="G331" s="10"/>
      <c r="H331" s="10"/>
      <c r="I331" s="10"/>
      <c r="J331" s="9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9"/>
      <c r="G332" s="10"/>
      <c r="H332" s="10"/>
      <c r="I332" s="10"/>
      <c r="J332" s="9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9"/>
      <c r="G333" s="10"/>
      <c r="H333" s="10"/>
      <c r="I333" s="10"/>
      <c r="J333" s="9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9"/>
      <c r="G334" s="10"/>
      <c r="H334" s="10"/>
      <c r="I334" s="10"/>
      <c r="J334" s="9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9"/>
      <c r="G335" s="10"/>
      <c r="H335" s="10"/>
      <c r="I335" s="10"/>
      <c r="J335" s="9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9"/>
      <c r="G336" s="10"/>
      <c r="H336" s="10"/>
      <c r="I336" s="10"/>
      <c r="J336" s="9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9"/>
      <c r="G337" s="10"/>
      <c r="H337" s="10"/>
      <c r="I337" s="10"/>
      <c r="J337" s="9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9"/>
      <c r="G338" s="10"/>
      <c r="H338" s="10"/>
      <c r="I338" s="10"/>
      <c r="J338" s="9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9"/>
      <c r="G339" s="10"/>
      <c r="H339" s="10"/>
      <c r="I339" s="10"/>
      <c r="J339" s="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9"/>
      <c r="G340" s="10"/>
      <c r="H340" s="10"/>
      <c r="I340" s="10"/>
      <c r="J340" s="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9"/>
      <c r="G341" s="10"/>
      <c r="H341" s="10"/>
      <c r="I341" s="10"/>
      <c r="J341" s="9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9"/>
      <c r="G342" s="10"/>
      <c r="H342" s="10"/>
      <c r="I342" s="10"/>
      <c r="J342" s="9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9"/>
      <c r="G343" s="10"/>
      <c r="H343" s="10"/>
      <c r="I343" s="10"/>
      <c r="J343" s="9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9"/>
      <c r="G344" s="10"/>
      <c r="H344" s="10"/>
      <c r="I344" s="10"/>
      <c r="J344" s="9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9"/>
      <c r="G345" s="10"/>
      <c r="H345" s="10"/>
      <c r="I345" s="10"/>
      <c r="J345" s="9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9"/>
      <c r="G346" s="10"/>
      <c r="H346" s="10"/>
      <c r="I346" s="10"/>
      <c r="J346" s="9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9"/>
      <c r="G347" s="10"/>
      <c r="H347" s="10"/>
      <c r="I347" s="10"/>
      <c r="J347" s="9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9"/>
      <c r="G348" s="10"/>
      <c r="H348" s="10"/>
      <c r="I348" s="10"/>
      <c r="J348" s="9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9"/>
      <c r="G349" s="10"/>
      <c r="H349" s="10"/>
      <c r="I349" s="10"/>
      <c r="J349" s="9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9"/>
      <c r="G350" s="10"/>
      <c r="H350" s="10"/>
      <c r="I350" s="10"/>
      <c r="J350" s="9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9"/>
      <c r="G351" s="10"/>
      <c r="H351" s="10"/>
      <c r="I351" s="10"/>
      <c r="J351" s="9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9"/>
      <c r="G352" s="10"/>
      <c r="H352" s="10"/>
      <c r="I352" s="10"/>
      <c r="J352" s="9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9"/>
      <c r="G353" s="10"/>
      <c r="H353" s="10"/>
      <c r="I353" s="10"/>
      <c r="J353" s="9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9"/>
      <c r="G354" s="10"/>
      <c r="H354" s="10"/>
      <c r="I354" s="10"/>
      <c r="J354" s="9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9"/>
      <c r="G355" s="10"/>
      <c r="H355" s="10"/>
      <c r="I355" s="10"/>
      <c r="J355" s="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9"/>
      <c r="G356" s="10"/>
      <c r="H356" s="10"/>
      <c r="I356" s="10"/>
      <c r="J356" s="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9"/>
      <c r="G357" s="10"/>
      <c r="H357" s="10"/>
      <c r="I357" s="10"/>
      <c r="J357" s="9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9"/>
      <c r="G358" s="10"/>
      <c r="H358" s="10"/>
      <c r="I358" s="10"/>
      <c r="J358" s="9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9"/>
      <c r="G359" s="10"/>
      <c r="H359" s="10"/>
      <c r="I359" s="10"/>
      <c r="J359" s="9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9"/>
      <c r="G360" s="10"/>
      <c r="H360" s="10"/>
      <c r="I360" s="10"/>
      <c r="J360" s="9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9"/>
      <c r="G361" s="10"/>
      <c r="H361" s="10"/>
      <c r="I361" s="10"/>
      <c r="J361" s="9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9"/>
      <c r="G362" s="10"/>
      <c r="H362" s="10"/>
      <c r="I362" s="10"/>
      <c r="J362" s="9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9"/>
      <c r="G363" s="10"/>
      <c r="H363" s="10"/>
      <c r="I363" s="10"/>
      <c r="J363" s="9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9"/>
      <c r="G364" s="10"/>
      <c r="H364" s="10"/>
      <c r="I364" s="10"/>
      <c r="J364" s="9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9"/>
      <c r="G365" s="10"/>
      <c r="H365" s="10"/>
      <c r="I365" s="10"/>
      <c r="J365" s="9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9"/>
      <c r="G366" s="10"/>
      <c r="H366" s="10"/>
      <c r="I366" s="10"/>
      <c r="J366" s="9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9"/>
      <c r="G367" s="10"/>
      <c r="H367" s="10"/>
      <c r="I367" s="10"/>
      <c r="J367" s="9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9"/>
      <c r="G368" s="10"/>
      <c r="H368" s="10"/>
      <c r="I368" s="10"/>
      <c r="J368" s="9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9"/>
      <c r="G369" s="10"/>
      <c r="H369" s="10"/>
      <c r="I369" s="10"/>
      <c r="J369" s="9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9"/>
      <c r="G370" s="10"/>
      <c r="H370" s="10"/>
      <c r="I370" s="10"/>
      <c r="J370" s="9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9"/>
      <c r="G371" s="10"/>
      <c r="H371" s="10"/>
      <c r="I371" s="10"/>
      <c r="J371" s="9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9"/>
      <c r="G372" s="10"/>
      <c r="H372" s="10"/>
      <c r="I372" s="10"/>
      <c r="J372" s="9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9"/>
      <c r="G373" s="10"/>
      <c r="H373" s="10"/>
      <c r="I373" s="10"/>
      <c r="J373" s="9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9"/>
      <c r="G374" s="10"/>
      <c r="H374" s="10"/>
      <c r="I374" s="10"/>
      <c r="J374" s="9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9"/>
      <c r="G375" s="10"/>
      <c r="H375" s="10"/>
      <c r="I375" s="10"/>
      <c r="J375" s="9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9"/>
      <c r="G376" s="10"/>
      <c r="H376" s="10"/>
      <c r="I376" s="10"/>
      <c r="J376" s="9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9"/>
      <c r="G377" s="10"/>
      <c r="H377" s="10"/>
      <c r="I377" s="10"/>
      <c r="J377" s="9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9"/>
      <c r="G378" s="10"/>
      <c r="H378" s="10"/>
      <c r="I378" s="10"/>
      <c r="J378" s="9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9"/>
      <c r="G379" s="10"/>
      <c r="H379" s="10"/>
      <c r="I379" s="10"/>
      <c r="J379" s="9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9"/>
      <c r="G380" s="10"/>
      <c r="H380" s="10"/>
      <c r="I380" s="10"/>
      <c r="J380" s="9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9"/>
      <c r="G381" s="10"/>
      <c r="H381" s="10"/>
      <c r="I381" s="10"/>
      <c r="J381" s="9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9"/>
      <c r="G382" s="10"/>
      <c r="H382" s="10"/>
      <c r="I382" s="10"/>
      <c r="J382" s="9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9"/>
      <c r="G383" s="10"/>
      <c r="H383" s="10"/>
      <c r="I383" s="10"/>
      <c r="J383" s="9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9"/>
      <c r="G384" s="10"/>
      <c r="H384" s="10"/>
      <c r="I384" s="10"/>
      <c r="J384" s="9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9"/>
      <c r="G385" s="10"/>
      <c r="H385" s="10"/>
      <c r="I385" s="10"/>
      <c r="J385" s="9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9"/>
      <c r="G386" s="10"/>
      <c r="H386" s="10"/>
      <c r="I386" s="10"/>
      <c r="J386" s="9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9"/>
      <c r="G387" s="10"/>
      <c r="H387" s="10"/>
      <c r="I387" s="10"/>
      <c r="J387" s="9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9"/>
      <c r="G388" s="10"/>
      <c r="H388" s="10"/>
      <c r="I388" s="10"/>
      <c r="J388" s="9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9"/>
      <c r="G389" s="10"/>
      <c r="H389" s="10"/>
      <c r="I389" s="10"/>
      <c r="J389" s="9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9"/>
      <c r="G390" s="10"/>
      <c r="H390" s="10"/>
      <c r="I390" s="10"/>
      <c r="J390" s="9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9"/>
      <c r="G391" s="10"/>
      <c r="H391" s="10"/>
      <c r="I391" s="10"/>
      <c r="J391" s="9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9"/>
      <c r="G392" s="10"/>
      <c r="H392" s="10"/>
      <c r="I392" s="10"/>
      <c r="J392" s="9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9"/>
      <c r="G393" s="10"/>
      <c r="H393" s="10"/>
      <c r="I393" s="10"/>
      <c r="J393" s="9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9"/>
      <c r="G394" s="10"/>
      <c r="H394" s="10"/>
      <c r="I394" s="10"/>
      <c r="J394" s="9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9"/>
      <c r="G395" s="10"/>
      <c r="H395" s="10"/>
      <c r="I395" s="10"/>
      <c r="J395" s="9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9"/>
      <c r="G396" s="10"/>
      <c r="H396" s="10"/>
      <c r="I396" s="10"/>
      <c r="J396" s="9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9"/>
      <c r="G397" s="10"/>
      <c r="H397" s="10"/>
      <c r="I397" s="10"/>
      <c r="J397" s="9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9"/>
      <c r="G398" s="10"/>
      <c r="H398" s="10"/>
      <c r="I398" s="10"/>
      <c r="J398" s="9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9"/>
      <c r="G399" s="10"/>
      <c r="H399" s="10"/>
      <c r="I399" s="10"/>
      <c r="J399" s="9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9"/>
      <c r="G400" s="10"/>
      <c r="H400" s="10"/>
      <c r="I400" s="10"/>
      <c r="J400" s="9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9"/>
      <c r="G401" s="10"/>
      <c r="H401" s="10"/>
      <c r="I401" s="10"/>
      <c r="J401" s="9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9"/>
      <c r="G402" s="10"/>
      <c r="H402" s="10"/>
      <c r="I402" s="10"/>
      <c r="J402" s="9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9"/>
      <c r="G403" s="10"/>
      <c r="H403" s="10"/>
      <c r="I403" s="10"/>
      <c r="J403" s="9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9"/>
      <c r="G404" s="10"/>
      <c r="H404" s="10"/>
      <c r="I404" s="10"/>
      <c r="J404" s="9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9"/>
      <c r="G405" s="10"/>
      <c r="H405" s="10"/>
      <c r="I405" s="10"/>
      <c r="J405" s="9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9"/>
      <c r="G406" s="10"/>
      <c r="H406" s="10"/>
      <c r="I406" s="10"/>
      <c r="J406" s="9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9"/>
      <c r="G407" s="10"/>
      <c r="H407" s="10"/>
      <c r="I407" s="10"/>
      <c r="J407" s="9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9"/>
      <c r="G408" s="10"/>
      <c r="H408" s="10"/>
      <c r="I408" s="10"/>
      <c r="J408" s="9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9"/>
      <c r="G409" s="10"/>
      <c r="H409" s="10"/>
      <c r="I409" s="10"/>
      <c r="J409" s="9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9"/>
      <c r="G410" s="10"/>
      <c r="H410" s="10"/>
      <c r="I410" s="10"/>
      <c r="J410" s="9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9"/>
      <c r="G411" s="10"/>
      <c r="H411" s="10"/>
      <c r="I411" s="10"/>
      <c r="J411" s="9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9"/>
      <c r="G412" s="10"/>
      <c r="H412" s="10"/>
      <c r="I412" s="10"/>
      <c r="J412" s="9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9"/>
      <c r="G413" s="10"/>
      <c r="H413" s="10"/>
      <c r="I413" s="10"/>
      <c r="J413" s="9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9"/>
      <c r="G414" s="10"/>
      <c r="H414" s="10"/>
      <c r="I414" s="10"/>
      <c r="J414" s="9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9"/>
      <c r="G415" s="10"/>
      <c r="H415" s="10"/>
      <c r="I415" s="10"/>
      <c r="J415" s="9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9"/>
      <c r="G416" s="10"/>
      <c r="H416" s="10"/>
      <c r="I416" s="10"/>
      <c r="J416" s="9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9"/>
      <c r="G417" s="10"/>
      <c r="H417" s="10"/>
      <c r="I417" s="10"/>
      <c r="J417" s="9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9"/>
      <c r="G418" s="10"/>
      <c r="H418" s="10"/>
      <c r="I418" s="10"/>
      <c r="J418" s="9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9"/>
      <c r="G419" s="10"/>
      <c r="H419" s="10"/>
      <c r="I419" s="10"/>
      <c r="J419" s="9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9"/>
      <c r="G420" s="10"/>
      <c r="H420" s="10"/>
      <c r="I420" s="10"/>
      <c r="J420" s="9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9"/>
      <c r="G421" s="10"/>
      <c r="H421" s="10"/>
      <c r="I421" s="10"/>
      <c r="J421" s="9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9"/>
      <c r="G422" s="10"/>
      <c r="H422" s="10"/>
      <c r="I422" s="10"/>
      <c r="J422" s="9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9"/>
      <c r="G423" s="10"/>
      <c r="H423" s="10"/>
      <c r="I423" s="10"/>
      <c r="J423" s="9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9"/>
      <c r="G424" s="10"/>
      <c r="H424" s="10"/>
      <c r="I424" s="10"/>
      <c r="J424" s="9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9"/>
      <c r="G425" s="10"/>
      <c r="H425" s="10"/>
      <c r="I425" s="10"/>
      <c r="J425" s="9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9"/>
      <c r="G426" s="10"/>
      <c r="H426" s="10"/>
      <c r="I426" s="10"/>
      <c r="J426" s="9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9"/>
      <c r="G427" s="10"/>
      <c r="H427" s="10"/>
      <c r="I427" s="10"/>
      <c r="J427" s="9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9"/>
      <c r="G428" s="10"/>
      <c r="H428" s="10"/>
      <c r="I428" s="10"/>
      <c r="J428" s="9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9"/>
      <c r="G429" s="10"/>
      <c r="H429" s="10"/>
      <c r="I429" s="10"/>
      <c r="J429" s="9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9"/>
      <c r="G430" s="10"/>
      <c r="H430" s="10"/>
      <c r="I430" s="10"/>
      <c r="J430" s="9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9"/>
      <c r="G431" s="10"/>
      <c r="H431" s="10"/>
      <c r="I431" s="10"/>
      <c r="J431" s="9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9"/>
      <c r="G432" s="10"/>
      <c r="H432" s="10"/>
      <c r="I432" s="10"/>
      <c r="J432" s="9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9"/>
      <c r="G433" s="10"/>
      <c r="H433" s="10"/>
      <c r="I433" s="10"/>
      <c r="J433" s="9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9"/>
      <c r="G434" s="10"/>
      <c r="H434" s="10"/>
      <c r="I434" s="10"/>
      <c r="J434" s="9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9"/>
      <c r="G435" s="10"/>
      <c r="H435" s="10"/>
      <c r="I435" s="10"/>
      <c r="J435" s="9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9"/>
      <c r="G436" s="10"/>
      <c r="H436" s="10"/>
      <c r="I436" s="10"/>
      <c r="J436" s="9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9"/>
      <c r="G437" s="10"/>
      <c r="H437" s="10"/>
      <c r="I437" s="10"/>
      <c r="J437" s="9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9"/>
      <c r="G438" s="10"/>
      <c r="H438" s="10"/>
      <c r="I438" s="10"/>
      <c r="J438" s="9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9"/>
      <c r="G439" s="10"/>
      <c r="H439" s="10"/>
      <c r="I439" s="10"/>
      <c r="J439" s="9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9"/>
      <c r="G440" s="10"/>
      <c r="H440" s="10"/>
      <c r="I440" s="10"/>
      <c r="J440" s="9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9"/>
      <c r="G441" s="10"/>
      <c r="H441" s="10"/>
      <c r="I441" s="10"/>
      <c r="J441" s="9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9"/>
      <c r="G442" s="10"/>
      <c r="H442" s="10"/>
      <c r="I442" s="10"/>
      <c r="J442" s="9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9"/>
      <c r="G443" s="10"/>
      <c r="H443" s="10"/>
      <c r="I443" s="10"/>
      <c r="J443" s="9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9"/>
      <c r="G444" s="10"/>
      <c r="H444" s="10"/>
      <c r="I444" s="10"/>
      <c r="J444" s="9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9"/>
      <c r="G445" s="10"/>
      <c r="H445" s="10"/>
      <c r="I445" s="10"/>
      <c r="J445" s="9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9"/>
      <c r="G446" s="10"/>
      <c r="H446" s="10"/>
      <c r="I446" s="10"/>
      <c r="J446" s="9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9"/>
      <c r="G447" s="10"/>
      <c r="H447" s="10"/>
      <c r="I447" s="10"/>
      <c r="J447" s="9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9"/>
      <c r="G448" s="10"/>
      <c r="H448" s="10"/>
      <c r="I448" s="10"/>
      <c r="J448" s="9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9"/>
      <c r="G449" s="10"/>
      <c r="H449" s="10"/>
      <c r="I449" s="10"/>
      <c r="J449" s="9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9"/>
      <c r="G450" s="10"/>
      <c r="H450" s="10"/>
      <c r="I450" s="10"/>
      <c r="J450" s="9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9"/>
      <c r="G451" s="10"/>
      <c r="H451" s="10"/>
      <c r="I451" s="10"/>
      <c r="J451" s="9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9"/>
      <c r="G452" s="10"/>
      <c r="H452" s="10"/>
      <c r="I452" s="10"/>
      <c r="J452" s="9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9"/>
      <c r="G453" s="10"/>
      <c r="H453" s="10"/>
      <c r="I453" s="10"/>
      <c r="J453" s="9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9"/>
      <c r="G454" s="10"/>
      <c r="H454" s="10"/>
      <c r="I454" s="10"/>
      <c r="J454" s="9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9"/>
      <c r="G455" s="10"/>
      <c r="H455" s="10"/>
      <c r="I455" s="10"/>
      <c r="J455" s="9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9"/>
      <c r="G456" s="10"/>
      <c r="H456" s="10"/>
      <c r="I456" s="10"/>
      <c r="J456" s="9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9"/>
      <c r="G457" s="10"/>
      <c r="H457" s="10"/>
      <c r="I457" s="10"/>
      <c r="J457" s="9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9"/>
      <c r="G458" s="10"/>
      <c r="H458" s="10"/>
      <c r="I458" s="10"/>
      <c r="J458" s="9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9"/>
      <c r="G459" s="10"/>
      <c r="H459" s="10"/>
      <c r="I459" s="10"/>
      <c r="J459" s="9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9"/>
      <c r="G460" s="10"/>
      <c r="H460" s="10"/>
      <c r="I460" s="10"/>
      <c r="J460" s="9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9"/>
      <c r="G461" s="10"/>
      <c r="H461" s="10"/>
      <c r="I461" s="10"/>
      <c r="J461" s="9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9"/>
      <c r="G462" s="10"/>
      <c r="H462" s="10"/>
      <c r="I462" s="10"/>
      <c r="J462" s="9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9"/>
      <c r="G463" s="10"/>
      <c r="H463" s="10"/>
      <c r="I463" s="10"/>
      <c r="J463" s="9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9"/>
      <c r="G464" s="10"/>
      <c r="H464" s="10"/>
      <c r="I464" s="10"/>
      <c r="J464" s="9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9"/>
      <c r="G465" s="10"/>
      <c r="H465" s="10"/>
      <c r="I465" s="10"/>
      <c r="J465" s="9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9"/>
      <c r="G466" s="10"/>
      <c r="H466" s="10"/>
      <c r="I466" s="10"/>
      <c r="J466" s="9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9"/>
      <c r="G467" s="10"/>
      <c r="H467" s="10"/>
      <c r="I467" s="10"/>
      <c r="J467" s="9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9"/>
      <c r="G468" s="10"/>
      <c r="H468" s="10"/>
      <c r="I468" s="10"/>
      <c r="J468" s="9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9"/>
      <c r="G469" s="10"/>
      <c r="H469" s="10"/>
      <c r="I469" s="10"/>
      <c r="J469" s="9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9"/>
      <c r="G470" s="10"/>
      <c r="H470" s="10"/>
      <c r="I470" s="10"/>
      <c r="J470" s="9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9"/>
      <c r="G471" s="10"/>
      <c r="H471" s="10"/>
      <c r="I471" s="10"/>
      <c r="J471" s="9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9"/>
      <c r="G472" s="10"/>
      <c r="H472" s="10"/>
      <c r="I472" s="10"/>
      <c r="J472" s="9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9"/>
      <c r="G473" s="10"/>
      <c r="H473" s="10"/>
      <c r="I473" s="10"/>
      <c r="J473" s="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9"/>
      <c r="G474" s="10"/>
      <c r="H474" s="10"/>
      <c r="I474" s="10"/>
      <c r="J474" s="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9"/>
      <c r="G475" s="10"/>
      <c r="H475" s="10"/>
      <c r="I475" s="10"/>
      <c r="J475" s="9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9"/>
      <c r="G476" s="10"/>
      <c r="H476" s="10"/>
      <c r="I476" s="10"/>
      <c r="J476" s="9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9"/>
      <c r="G477" s="10"/>
      <c r="H477" s="10"/>
      <c r="I477" s="10"/>
      <c r="J477" s="9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9"/>
      <c r="G478" s="10"/>
      <c r="H478" s="10"/>
      <c r="I478" s="10"/>
      <c r="J478" s="9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9"/>
      <c r="G479" s="10"/>
      <c r="H479" s="10"/>
      <c r="I479" s="10"/>
      <c r="J479" s="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9"/>
      <c r="G480" s="10"/>
      <c r="H480" s="10"/>
      <c r="I480" s="10"/>
      <c r="J480" s="9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9"/>
      <c r="G481" s="10"/>
      <c r="H481" s="10"/>
      <c r="I481" s="10"/>
      <c r="J481" s="9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9"/>
      <c r="G482" s="10"/>
      <c r="H482" s="10"/>
      <c r="I482" s="10"/>
      <c r="J482" s="9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9"/>
      <c r="G483" s="10"/>
      <c r="H483" s="10"/>
      <c r="I483" s="10"/>
      <c r="J483" s="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9"/>
      <c r="G484" s="10"/>
      <c r="H484" s="10"/>
      <c r="I484" s="10"/>
      <c r="J484" s="9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9"/>
      <c r="G485" s="10"/>
      <c r="H485" s="10"/>
      <c r="I485" s="10"/>
      <c r="J485" s="9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9"/>
      <c r="G486" s="10"/>
      <c r="H486" s="10"/>
      <c r="I486" s="10"/>
      <c r="J486" s="9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9"/>
      <c r="G487" s="10"/>
      <c r="H487" s="10"/>
      <c r="I487" s="10"/>
      <c r="J487" s="9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9"/>
      <c r="G488" s="10"/>
      <c r="H488" s="10"/>
      <c r="I488" s="10"/>
      <c r="J488" s="9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9"/>
      <c r="G489" s="10"/>
      <c r="H489" s="10"/>
      <c r="I489" s="10"/>
      <c r="J489" s="9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9"/>
      <c r="G490" s="10"/>
      <c r="H490" s="10"/>
      <c r="I490" s="10"/>
      <c r="J490" s="9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9"/>
      <c r="G491" s="10"/>
      <c r="H491" s="10"/>
      <c r="I491" s="10"/>
      <c r="J491" s="9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9"/>
      <c r="G492" s="10"/>
      <c r="H492" s="10"/>
      <c r="I492" s="10"/>
      <c r="J492" s="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9"/>
      <c r="G493" s="10"/>
      <c r="H493" s="10"/>
      <c r="I493" s="10"/>
      <c r="J493" s="9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9"/>
      <c r="G494" s="10"/>
      <c r="H494" s="10"/>
      <c r="I494" s="10"/>
      <c r="J494" s="9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9"/>
      <c r="G495" s="10"/>
      <c r="H495" s="10"/>
      <c r="I495" s="10"/>
      <c r="J495" s="9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9"/>
      <c r="G496" s="10"/>
      <c r="H496" s="10"/>
      <c r="I496" s="10"/>
      <c r="J496" s="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9"/>
      <c r="G497" s="10"/>
      <c r="H497" s="10"/>
      <c r="I497" s="10"/>
      <c r="J497" s="9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9"/>
      <c r="G498" s="10"/>
      <c r="H498" s="10"/>
      <c r="I498" s="10"/>
      <c r="J498" s="9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9"/>
      <c r="G499" s="10"/>
      <c r="H499" s="10"/>
      <c r="I499" s="10"/>
      <c r="J499" s="9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9"/>
      <c r="G500" s="10"/>
      <c r="H500" s="10"/>
      <c r="I500" s="10"/>
      <c r="J500" s="9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9"/>
      <c r="G501" s="10"/>
      <c r="H501" s="10"/>
      <c r="I501" s="10"/>
      <c r="J501" s="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9"/>
      <c r="G502" s="10"/>
      <c r="H502" s="10"/>
      <c r="I502" s="10"/>
      <c r="J502" s="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9"/>
      <c r="G503" s="10"/>
      <c r="H503" s="10"/>
      <c r="I503" s="10"/>
      <c r="J503" s="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9"/>
      <c r="G504" s="10"/>
      <c r="H504" s="10"/>
      <c r="I504" s="10"/>
      <c r="J504" s="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9"/>
      <c r="G505" s="10"/>
      <c r="H505" s="10"/>
      <c r="I505" s="10"/>
      <c r="J505" s="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9"/>
      <c r="G506" s="10"/>
      <c r="H506" s="10"/>
      <c r="I506" s="10"/>
      <c r="J506" s="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9"/>
      <c r="G507" s="10"/>
      <c r="H507" s="10"/>
      <c r="I507" s="10"/>
      <c r="J507" s="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9"/>
      <c r="G508" s="10"/>
      <c r="H508" s="10"/>
      <c r="I508" s="10"/>
      <c r="J508" s="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9"/>
      <c r="G509" s="10"/>
      <c r="H509" s="10"/>
      <c r="I509" s="10"/>
      <c r="J509" s="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9"/>
      <c r="G510" s="10"/>
      <c r="H510" s="10"/>
      <c r="I510" s="10"/>
      <c r="J510" s="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9"/>
      <c r="G511" s="10"/>
      <c r="H511" s="10"/>
      <c r="I511" s="10"/>
      <c r="J511" s="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9"/>
      <c r="G512" s="10"/>
      <c r="H512" s="10"/>
      <c r="I512" s="10"/>
      <c r="J512" s="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9"/>
      <c r="G513" s="10"/>
      <c r="H513" s="10"/>
      <c r="I513" s="10"/>
      <c r="J513" s="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9"/>
      <c r="G514" s="10"/>
      <c r="H514" s="10"/>
      <c r="I514" s="10"/>
      <c r="J514" s="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9"/>
      <c r="G515" s="10"/>
      <c r="H515" s="10"/>
      <c r="I515" s="10"/>
      <c r="J515" s="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9"/>
      <c r="G516" s="10"/>
      <c r="H516" s="10"/>
      <c r="I516" s="10"/>
      <c r="J516" s="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9"/>
      <c r="G517" s="10"/>
      <c r="H517" s="10"/>
      <c r="I517" s="10"/>
      <c r="J517" s="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9"/>
      <c r="G518" s="10"/>
      <c r="H518" s="10"/>
      <c r="I518" s="10"/>
      <c r="J518" s="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9"/>
      <c r="G519" s="10"/>
      <c r="H519" s="10"/>
      <c r="I519" s="10"/>
      <c r="J519" s="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9"/>
      <c r="G520" s="10"/>
      <c r="H520" s="10"/>
      <c r="I520" s="10"/>
      <c r="J520" s="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9"/>
      <c r="G521" s="10"/>
      <c r="H521" s="10"/>
      <c r="I521" s="10"/>
      <c r="J521" s="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9"/>
      <c r="G522" s="10"/>
      <c r="H522" s="10"/>
      <c r="I522" s="10"/>
      <c r="J522" s="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9"/>
      <c r="G523" s="10"/>
      <c r="H523" s="10"/>
      <c r="I523" s="10"/>
      <c r="J523" s="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9"/>
      <c r="G524" s="10"/>
      <c r="H524" s="10"/>
      <c r="I524" s="10"/>
      <c r="J524" s="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9"/>
      <c r="G525" s="10"/>
      <c r="H525" s="10"/>
      <c r="I525" s="10"/>
      <c r="J525" s="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9"/>
      <c r="G526" s="10"/>
      <c r="H526" s="10"/>
      <c r="I526" s="10"/>
      <c r="J526" s="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9"/>
      <c r="G527" s="10"/>
      <c r="H527" s="10"/>
      <c r="I527" s="10"/>
      <c r="J527" s="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9"/>
      <c r="G528" s="10"/>
      <c r="H528" s="10"/>
      <c r="I528" s="10"/>
      <c r="J528" s="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9"/>
      <c r="G529" s="10"/>
      <c r="H529" s="10"/>
      <c r="I529" s="10"/>
      <c r="J529" s="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9"/>
      <c r="G530" s="10"/>
      <c r="H530" s="10"/>
      <c r="I530" s="10"/>
      <c r="J530" s="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9"/>
      <c r="G531" s="10"/>
      <c r="H531" s="10"/>
      <c r="I531" s="10"/>
      <c r="J531" s="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9"/>
      <c r="G532" s="10"/>
      <c r="H532" s="10"/>
      <c r="I532" s="10"/>
      <c r="J532" s="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9"/>
      <c r="G533" s="10"/>
      <c r="H533" s="10"/>
      <c r="I533" s="10"/>
      <c r="J533" s="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9"/>
      <c r="G534" s="10"/>
      <c r="H534" s="10"/>
      <c r="I534" s="10"/>
      <c r="J534" s="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9"/>
      <c r="G535" s="10"/>
      <c r="H535" s="10"/>
      <c r="I535" s="10"/>
      <c r="J535" s="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9"/>
      <c r="G536" s="10"/>
      <c r="H536" s="10"/>
      <c r="I536" s="10"/>
      <c r="J536" s="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9"/>
      <c r="G537" s="10"/>
      <c r="H537" s="10"/>
      <c r="I537" s="10"/>
      <c r="J537" s="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9"/>
      <c r="G538" s="10"/>
      <c r="H538" s="10"/>
      <c r="I538" s="10"/>
      <c r="J538" s="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9"/>
      <c r="G539" s="10"/>
      <c r="H539" s="10"/>
      <c r="I539" s="10"/>
      <c r="J539" s="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9"/>
      <c r="G540" s="10"/>
      <c r="H540" s="10"/>
      <c r="I540" s="10"/>
      <c r="J540" s="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9"/>
      <c r="G541" s="10"/>
      <c r="H541" s="10"/>
      <c r="I541" s="10"/>
      <c r="J541" s="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9"/>
      <c r="G542" s="10"/>
      <c r="H542" s="10"/>
      <c r="I542" s="10"/>
      <c r="J542" s="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9"/>
      <c r="G543" s="10"/>
      <c r="H543" s="10"/>
      <c r="I543" s="10"/>
      <c r="J543" s="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9"/>
      <c r="G544" s="10"/>
      <c r="H544" s="10"/>
      <c r="I544" s="10"/>
      <c r="J544" s="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9"/>
      <c r="G545" s="10"/>
      <c r="H545" s="10"/>
      <c r="I545" s="10"/>
      <c r="J545" s="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9"/>
      <c r="G546" s="10"/>
      <c r="H546" s="10"/>
      <c r="I546" s="10"/>
      <c r="J546" s="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9"/>
      <c r="G547" s="10"/>
      <c r="H547" s="10"/>
      <c r="I547" s="10"/>
      <c r="J547" s="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9"/>
      <c r="G548" s="10"/>
      <c r="H548" s="10"/>
      <c r="I548" s="10"/>
      <c r="J548" s="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9"/>
      <c r="G549" s="10"/>
      <c r="H549" s="10"/>
      <c r="I549" s="10"/>
      <c r="J549" s="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9"/>
      <c r="G550" s="10"/>
      <c r="H550" s="10"/>
      <c r="I550" s="10"/>
      <c r="J550" s="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9"/>
      <c r="G551" s="10"/>
      <c r="H551" s="10"/>
      <c r="I551" s="10"/>
      <c r="J551" s="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9"/>
      <c r="G552" s="10"/>
      <c r="H552" s="10"/>
      <c r="I552" s="10"/>
      <c r="J552" s="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9"/>
      <c r="G553" s="10"/>
      <c r="H553" s="10"/>
      <c r="I553" s="10"/>
      <c r="J553" s="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9"/>
      <c r="G554" s="10"/>
      <c r="H554" s="10"/>
      <c r="I554" s="10"/>
      <c r="J554" s="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9"/>
      <c r="G555" s="10"/>
      <c r="H555" s="10"/>
      <c r="I555" s="10"/>
      <c r="J555" s="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9"/>
      <c r="G556" s="10"/>
      <c r="H556" s="10"/>
      <c r="I556" s="10"/>
      <c r="J556" s="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9"/>
      <c r="G557" s="10"/>
      <c r="H557" s="10"/>
      <c r="I557" s="10"/>
      <c r="J557" s="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9"/>
      <c r="G558" s="10"/>
      <c r="H558" s="10"/>
      <c r="I558" s="10"/>
      <c r="J558" s="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9"/>
      <c r="G559" s="10"/>
      <c r="H559" s="10"/>
      <c r="I559" s="10"/>
      <c r="J559" s="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9"/>
      <c r="G560" s="10"/>
      <c r="H560" s="10"/>
      <c r="I560" s="10"/>
      <c r="J560" s="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9"/>
      <c r="G561" s="10"/>
      <c r="H561" s="10"/>
      <c r="I561" s="10"/>
      <c r="J561" s="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9"/>
      <c r="G562" s="10"/>
      <c r="H562" s="10"/>
      <c r="I562" s="10"/>
      <c r="J562" s="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9"/>
      <c r="G563" s="10"/>
      <c r="H563" s="10"/>
      <c r="I563" s="10"/>
      <c r="J563" s="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9"/>
      <c r="G564" s="10"/>
      <c r="H564" s="10"/>
      <c r="I564" s="10"/>
      <c r="J564" s="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9"/>
      <c r="G565" s="10"/>
      <c r="H565" s="10"/>
      <c r="I565" s="10"/>
      <c r="J565" s="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9"/>
      <c r="G566" s="10"/>
      <c r="H566" s="10"/>
      <c r="I566" s="10"/>
      <c r="J566" s="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9"/>
      <c r="G567" s="10"/>
      <c r="H567" s="10"/>
      <c r="I567" s="10"/>
      <c r="J567" s="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9"/>
      <c r="G568" s="10"/>
      <c r="H568" s="10"/>
      <c r="I568" s="10"/>
      <c r="J568" s="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9"/>
      <c r="G569" s="10"/>
      <c r="H569" s="10"/>
      <c r="I569" s="10"/>
      <c r="J569" s="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9"/>
      <c r="G570" s="10"/>
      <c r="H570" s="10"/>
      <c r="I570" s="10"/>
      <c r="J570" s="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9"/>
      <c r="G571" s="10"/>
      <c r="H571" s="10"/>
      <c r="I571" s="10"/>
      <c r="J571" s="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9"/>
      <c r="G572" s="10"/>
      <c r="H572" s="10"/>
      <c r="I572" s="10"/>
      <c r="J572" s="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9"/>
      <c r="G573" s="10"/>
      <c r="H573" s="10"/>
      <c r="I573" s="10"/>
      <c r="J573" s="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9"/>
      <c r="G574" s="10"/>
      <c r="H574" s="10"/>
      <c r="I574" s="10"/>
      <c r="J574" s="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9"/>
      <c r="G575" s="10"/>
      <c r="H575" s="10"/>
      <c r="I575" s="10"/>
      <c r="J575" s="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9"/>
      <c r="G576" s="10"/>
      <c r="H576" s="10"/>
      <c r="I576" s="10"/>
      <c r="J576" s="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9"/>
      <c r="G577" s="10"/>
      <c r="H577" s="10"/>
      <c r="I577" s="10"/>
      <c r="J577" s="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9"/>
      <c r="G578" s="10"/>
      <c r="H578" s="10"/>
      <c r="I578" s="10"/>
      <c r="J578" s="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9"/>
      <c r="G579" s="10"/>
      <c r="H579" s="10"/>
      <c r="I579" s="10"/>
      <c r="J579" s="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9"/>
      <c r="G580" s="10"/>
      <c r="H580" s="10"/>
      <c r="I580" s="10"/>
      <c r="J580" s="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9"/>
      <c r="G581" s="10"/>
      <c r="H581" s="10"/>
      <c r="I581" s="10"/>
      <c r="J581" s="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9"/>
      <c r="G582" s="10"/>
      <c r="H582" s="10"/>
      <c r="I582" s="10"/>
      <c r="J582" s="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9"/>
      <c r="G583" s="10"/>
      <c r="H583" s="10"/>
      <c r="I583" s="10"/>
      <c r="J583" s="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9"/>
      <c r="G584" s="10"/>
      <c r="H584" s="10"/>
      <c r="I584" s="10"/>
      <c r="J584" s="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9"/>
      <c r="G585" s="10"/>
      <c r="H585" s="10"/>
      <c r="I585" s="10"/>
      <c r="J585" s="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9"/>
      <c r="G586" s="10"/>
      <c r="H586" s="10"/>
      <c r="I586" s="10"/>
      <c r="J586" s="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9"/>
      <c r="G587" s="10"/>
      <c r="H587" s="10"/>
      <c r="I587" s="10"/>
      <c r="J587" s="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9"/>
      <c r="G588" s="10"/>
      <c r="H588" s="10"/>
      <c r="I588" s="10"/>
      <c r="J588" s="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9"/>
      <c r="G589" s="10"/>
      <c r="H589" s="10"/>
      <c r="I589" s="10"/>
      <c r="J589" s="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9"/>
      <c r="G590" s="10"/>
      <c r="H590" s="10"/>
      <c r="I590" s="10"/>
      <c r="J590" s="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9"/>
      <c r="G591" s="10"/>
      <c r="H591" s="10"/>
      <c r="I591" s="10"/>
      <c r="J591" s="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9"/>
      <c r="G592" s="10"/>
      <c r="H592" s="10"/>
      <c r="I592" s="10"/>
      <c r="J592" s="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9"/>
      <c r="G593" s="10"/>
      <c r="H593" s="10"/>
      <c r="I593" s="10"/>
      <c r="J593" s="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9"/>
      <c r="G594" s="10"/>
      <c r="H594" s="10"/>
      <c r="I594" s="10"/>
      <c r="J594" s="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9"/>
      <c r="G595" s="10"/>
      <c r="H595" s="10"/>
      <c r="I595" s="10"/>
      <c r="J595" s="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9"/>
      <c r="G596" s="10"/>
      <c r="H596" s="10"/>
      <c r="I596" s="10"/>
      <c r="J596" s="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9"/>
      <c r="G597" s="10"/>
      <c r="H597" s="10"/>
      <c r="I597" s="10"/>
      <c r="J597" s="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9"/>
      <c r="G598" s="10"/>
      <c r="H598" s="10"/>
      <c r="I598" s="10"/>
      <c r="J598" s="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9"/>
      <c r="G599" s="10"/>
      <c r="H599" s="10"/>
      <c r="I599" s="10"/>
      <c r="J599" s="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9"/>
      <c r="G600" s="10"/>
      <c r="H600" s="10"/>
      <c r="I600" s="10"/>
      <c r="J600" s="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9"/>
      <c r="G601" s="10"/>
      <c r="H601" s="10"/>
      <c r="I601" s="10"/>
      <c r="J601" s="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9"/>
      <c r="G602" s="10"/>
      <c r="H602" s="10"/>
      <c r="I602" s="10"/>
      <c r="J602" s="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9"/>
      <c r="G603" s="10"/>
      <c r="H603" s="10"/>
      <c r="I603" s="10"/>
      <c r="J603" s="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9"/>
      <c r="G604" s="10"/>
      <c r="H604" s="10"/>
      <c r="I604" s="10"/>
      <c r="J604" s="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9"/>
      <c r="G605" s="10"/>
      <c r="H605" s="10"/>
      <c r="I605" s="10"/>
      <c r="J605" s="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9"/>
      <c r="G606" s="10"/>
      <c r="H606" s="10"/>
      <c r="I606" s="10"/>
      <c r="J606" s="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9"/>
      <c r="G607" s="10"/>
      <c r="H607" s="10"/>
      <c r="I607" s="10"/>
      <c r="J607" s="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9"/>
      <c r="G608" s="10"/>
      <c r="H608" s="10"/>
      <c r="I608" s="10"/>
      <c r="J608" s="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9"/>
      <c r="G609" s="10"/>
      <c r="H609" s="10"/>
      <c r="I609" s="10"/>
      <c r="J609" s="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9"/>
      <c r="G610" s="10"/>
      <c r="H610" s="10"/>
      <c r="I610" s="10"/>
      <c r="J610" s="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9"/>
      <c r="G611" s="10"/>
      <c r="H611" s="10"/>
      <c r="I611" s="10"/>
      <c r="J611" s="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9"/>
      <c r="G612" s="10"/>
      <c r="H612" s="10"/>
      <c r="I612" s="10"/>
      <c r="J612" s="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9"/>
      <c r="G613" s="10"/>
      <c r="H613" s="10"/>
      <c r="I613" s="10"/>
      <c r="J613" s="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9"/>
      <c r="G614" s="10"/>
      <c r="H614" s="10"/>
      <c r="I614" s="10"/>
      <c r="J614" s="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9"/>
      <c r="G615" s="10"/>
      <c r="H615" s="10"/>
      <c r="I615" s="10"/>
      <c r="J615" s="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9"/>
      <c r="G616" s="10"/>
      <c r="H616" s="10"/>
      <c r="I616" s="10"/>
      <c r="J616" s="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9"/>
      <c r="G617" s="10"/>
      <c r="H617" s="10"/>
      <c r="I617" s="10"/>
      <c r="J617" s="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9"/>
      <c r="G618" s="10"/>
      <c r="H618" s="10"/>
      <c r="I618" s="10"/>
      <c r="J618" s="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9"/>
      <c r="G619" s="10"/>
      <c r="H619" s="10"/>
      <c r="I619" s="10"/>
      <c r="J619" s="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9"/>
      <c r="G620" s="10"/>
      <c r="H620" s="10"/>
      <c r="I620" s="10"/>
      <c r="J620" s="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9"/>
      <c r="G621" s="10"/>
      <c r="H621" s="10"/>
      <c r="I621" s="10"/>
      <c r="J621" s="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9"/>
      <c r="G622" s="10"/>
      <c r="H622" s="10"/>
      <c r="I622" s="10"/>
      <c r="J622" s="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9"/>
      <c r="G623" s="10"/>
      <c r="H623" s="10"/>
      <c r="I623" s="10"/>
      <c r="J623" s="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9"/>
      <c r="G624" s="10"/>
      <c r="H624" s="10"/>
      <c r="I624" s="10"/>
      <c r="J624" s="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9"/>
      <c r="G625" s="10"/>
      <c r="H625" s="10"/>
      <c r="I625" s="10"/>
      <c r="J625" s="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9"/>
      <c r="G626" s="10"/>
      <c r="H626" s="10"/>
      <c r="I626" s="10"/>
      <c r="J626" s="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9"/>
      <c r="G627" s="10"/>
      <c r="H627" s="10"/>
      <c r="I627" s="10"/>
      <c r="J627" s="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9"/>
      <c r="G628" s="10"/>
      <c r="H628" s="10"/>
      <c r="I628" s="10"/>
      <c r="J628" s="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9"/>
      <c r="G629" s="10"/>
      <c r="H629" s="10"/>
      <c r="I629" s="10"/>
      <c r="J629" s="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9"/>
      <c r="G630" s="10"/>
      <c r="H630" s="10"/>
      <c r="I630" s="10"/>
      <c r="J630" s="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9"/>
      <c r="G631" s="10"/>
      <c r="H631" s="10"/>
      <c r="I631" s="10"/>
      <c r="J631" s="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9"/>
      <c r="G632" s="10"/>
      <c r="H632" s="10"/>
      <c r="I632" s="10"/>
      <c r="J632" s="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9"/>
      <c r="G633" s="10"/>
      <c r="H633" s="10"/>
      <c r="I633" s="10"/>
      <c r="J633" s="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9"/>
      <c r="G634" s="10"/>
      <c r="H634" s="10"/>
      <c r="I634" s="10"/>
      <c r="J634" s="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9"/>
      <c r="G635" s="10"/>
      <c r="H635" s="10"/>
      <c r="I635" s="10"/>
      <c r="J635" s="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9"/>
      <c r="G636" s="10"/>
      <c r="H636" s="10"/>
      <c r="I636" s="10"/>
      <c r="J636" s="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9"/>
      <c r="G637" s="10"/>
      <c r="H637" s="10"/>
      <c r="I637" s="10"/>
      <c r="J637" s="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9"/>
      <c r="G638" s="10"/>
      <c r="H638" s="10"/>
      <c r="I638" s="10"/>
      <c r="J638" s="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9"/>
      <c r="G639" s="10"/>
      <c r="H639" s="10"/>
      <c r="I639" s="10"/>
      <c r="J639" s="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9"/>
      <c r="G640" s="10"/>
      <c r="H640" s="10"/>
      <c r="I640" s="10"/>
      <c r="J640" s="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9"/>
      <c r="G641" s="10"/>
      <c r="H641" s="10"/>
      <c r="I641" s="10"/>
      <c r="J641" s="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9"/>
      <c r="G642" s="10"/>
      <c r="H642" s="10"/>
      <c r="I642" s="10"/>
      <c r="J642" s="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9"/>
      <c r="G643" s="10"/>
      <c r="H643" s="10"/>
      <c r="I643" s="10"/>
      <c r="J643" s="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9"/>
      <c r="G644" s="10"/>
      <c r="H644" s="10"/>
      <c r="I644" s="10"/>
      <c r="J644" s="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9"/>
      <c r="G645" s="10"/>
      <c r="H645" s="10"/>
      <c r="I645" s="10"/>
      <c r="J645" s="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9"/>
      <c r="G646" s="10"/>
      <c r="H646" s="10"/>
      <c r="I646" s="10"/>
      <c r="J646" s="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9"/>
      <c r="G647" s="10"/>
      <c r="H647" s="10"/>
      <c r="I647" s="10"/>
      <c r="J647" s="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9"/>
      <c r="G648" s="10"/>
      <c r="H648" s="10"/>
      <c r="I648" s="10"/>
      <c r="J648" s="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9"/>
      <c r="G649" s="10"/>
      <c r="H649" s="10"/>
      <c r="I649" s="10"/>
      <c r="J649" s="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9"/>
      <c r="G650" s="10"/>
      <c r="H650" s="10"/>
      <c r="I650" s="10"/>
      <c r="J650" s="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9"/>
      <c r="G651" s="10"/>
      <c r="H651" s="10"/>
      <c r="I651" s="10"/>
      <c r="J651" s="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9"/>
      <c r="G652" s="10"/>
      <c r="H652" s="10"/>
      <c r="I652" s="10"/>
      <c r="J652" s="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9"/>
      <c r="G653" s="10"/>
      <c r="H653" s="10"/>
      <c r="I653" s="10"/>
      <c r="J653" s="9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9"/>
      <c r="G654" s="10"/>
      <c r="H654" s="10"/>
      <c r="I654" s="10"/>
      <c r="J654" s="9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9"/>
      <c r="G655" s="10"/>
      <c r="H655" s="10"/>
      <c r="I655" s="10"/>
      <c r="J655" s="9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9"/>
      <c r="G656" s="10"/>
      <c r="H656" s="10"/>
      <c r="I656" s="10"/>
      <c r="J656" s="9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9"/>
      <c r="G657" s="10"/>
      <c r="H657" s="10"/>
      <c r="I657" s="10"/>
      <c r="J657" s="9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9"/>
      <c r="G658" s="10"/>
      <c r="H658" s="10"/>
      <c r="I658" s="10"/>
      <c r="J658" s="9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9"/>
      <c r="G659" s="10"/>
      <c r="H659" s="10"/>
      <c r="I659" s="10"/>
      <c r="J659" s="9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9"/>
      <c r="G660" s="10"/>
      <c r="H660" s="10"/>
      <c r="I660" s="10"/>
      <c r="J660" s="9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9"/>
      <c r="G661" s="10"/>
      <c r="H661" s="10"/>
      <c r="I661" s="10"/>
      <c r="J661" s="9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9"/>
      <c r="G662" s="10"/>
      <c r="H662" s="10"/>
      <c r="I662" s="10"/>
      <c r="J662" s="9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9"/>
      <c r="G663" s="10"/>
      <c r="H663" s="10"/>
      <c r="I663" s="10"/>
      <c r="J663" s="9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9"/>
      <c r="G664" s="10"/>
      <c r="H664" s="10"/>
      <c r="I664" s="10"/>
      <c r="J664" s="9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9"/>
      <c r="G665" s="10"/>
      <c r="H665" s="10"/>
      <c r="I665" s="10"/>
      <c r="J665" s="9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9"/>
      <c r="G666" s="10"/>
      <c r="H666" s="10"/>
      <c r="I666" s="10"/>
      <c r="J666" s="9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9"/>
      <c r="G667" s="10"/>
      <c r="H667" s="10"/>
      <c r="I667" s="10"/>
      <c r="J667" s="9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9"/>
      <c r="G668" s="10"/>
      <c r="H668" s="10"/>
      <c r="I668" s="10"/>
      <c r="J668" s="9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9"/>
      <c r="G669" s="10"/>
      <c r="H669" s="10"/>
      <c r="I669" s="10"/>
      <c r="J669" s="9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9"/>
      <c r="G670" s="10"/>
      <c r="H670" s="10"/>
      <c r="I670" s="10"/>
      <c r="J670" s="9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9"/>
      <c r="G671" s="10"/>
      <c r="H671" s="10"/>
      <c r="I671" s="10"/>
      <c r="J671" s="9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9"/>
      <c r="G672" s="10"/>
      <c r="H672" s="10"/>
      <c r="I672" s="10"/>
      <c r="J672" s="9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9"/>
      <c r="G673" s="10"/>
      <c r="H673" s="10"/>
      <c r="I673" s="10"/>
      <c r="J673" s="9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9"/>
      <c r="G674" s="10"/>
      <c r="H674" s="10"/>
      <c r="I674" s="10"/>
      <c r="J674" s="9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9"/>
      <c r="G675" s="10"/>
      <c r="H675" s="10"/>
      <c r="I675" s="10"/>
      <c r="J675" s="9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9"/>
      <c r="G676" s="10"/>
      <c r="H676" s="10"/>
      <c r="I676" s="10"/>
      <c r="J676" s="9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9"/>
      <c r="G677" s="10"/>
      <c r="H677" s="10"/>
      <c r="I677" s="10"/>
      <c r="J677" s="9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9"/>
      <c r="G678" s="10"/>
      <c r="H678" s="10"/>
      <c r="I678" s="10"/>
      <c r="J678" s="9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9"/>
      <c r="G679" s="10"/>
      <c r="H679" s="10"/>
      <c r="I679" s="10"/>
      <c r="J679" s="9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9"/>
      <c r="G680" s="10"/>
      <c r="H680" s="10"/>
      <c r="I680" s="10"/>
      <c r="J680" s="9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9"/>
      <c r="G681" s="10"/>
      <c r="H681" s="10"/>
      <c r="I681" s="10"/>
      <c r="J681" s="9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9"/>
      <c r="G682" s="10"/>
      <c r="H682" s="10"/>
      <c r="I682" s="10"/>
      <c r="J682" s="9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9"/>
      <c r="G683" s="10"/>
      <c r="H683" s="10"/>
      <c r="I683" s="10"/>
      <c r="J683" s="9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9"/>
      <c r="G684" s="10"/>
      <c r="H684" s="10"/>
      <c r="I684" s="10"/>
      <c r="J684" s="9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9"/>
      <c r="G685" s="10"/>
      <c r="H685" s="10"/>
      <c r="I685" s="10"/>
      <c r="J685" s="9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9"/>
      <c r="G686" s="10"/>
      <c r="H686" s="10"/>
      <c r="I686" s="10"/>
      <c r="J686" s="9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9"/>
      <c r="G687" s="10"/>
      <c r="H687" s="10"/>
      <c r="I687" s="10"/>
      <c r="J687" s="9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9"/>
      <c r="G688" s="10"/>
      <c r="H688" s="10"/>
      <c r="I688" s="10"/>
      <c r="J688" s="9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9"/>
      <c r="G689" s="10"/>
      <c r="H689" s="10"/>
      <c r="I689" s="10"/>
      <c r="J689" s="9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9"/>
      <c r="G690" s="10"/>
      <c r="H690" s="10"/>
      <c r="I690" s="10"/>
      <c r="J690" s="9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9"/>
      <c r="G691" s="10"/>
      <c r="H691" s="10"/>
      <c r="I691" s="10"/>
      <c r="J691" s="9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9"/>
      <c r="G692" s="10"/>
      <c r="H692" s="10"/>
      <c r="I692" s="10"/>
      <c r="J692" s="9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9"/>
      <c r="G693" s="10"/>
      <c r="H693" s="10"/>
      <c r="I693" s="10"/>
      <c r="J693" s="9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9"/>
      <c r="G694" s="10"/>
      <c r="H694" s="10"/>
      <c r="I694" s="10"/>
      <c r="J694" s="9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9"/>
      <c r="G695" s="10"/>
      <c r="H695" s="10"/>
      <c r="I695" s="10"/>
      <c r="J695" s="9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9"/>
      <c r="G696" s="10"/>
      <c r="H696" s="10"/>
      <c r="I696" s="10"/>
      <c r="J696" s="9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9"/>
      <c r="G697" s="10"/>
      <c r="H697" s="10"/>
      <c r="I697" s="10"/>
      <c r="J697" s="9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9"/>
      <c r="G698" s="10"/>
      <c r="H698" s="10"/>
      <c r="I698" s="10"/>
      <c r="J698" s="9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9"/>
      <c r="G699" s="10"/>
      <c r="H699" s="10"/>
      <c r="I699" s="10"/>
      <c r="J699" s="9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9"/>
      <c r="G700" s="10"/>
      <c r="H700" s="10"/>
      <c r="I700" s="10"/>
      <c r="J700" s="9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9"/>
      <c r="G701" s="10"/>
      <c r="H701" s="10"/>
      <c r="I701" s="10"/>
      <c r="J701" s="9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9"/>
      <c r="G702" s="10"/>
      <c r="H702" s="10"/>
      <c r="I702" s="10"/>
      <c r="J702" s="9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9"/>
      <c r="G703" s="10"/>
      <c r="H703" s="10"/>
      <c r="I703" s="10"/>
      <c r="J703" s="9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9"/>
      <c r="G704" s="10"/>
      <c r="H704" s="10"/>
      <c r="I704" s="10"/>
      <c r="J704" s="9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9"/>
      <c r="G705" s="10"/>
      <c r="H705" s="10"/>
      <c r="I705" s="10"/>
      <c r="J705" s="9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9"/>
      <c r="G706" s="10"/>
      <c r="H706" s="10"/>
      <c r="I706" s="10"/>
      <c r="J706" s="9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9"/>
      <c r="G707" s="10"/>
      <c r="H707" s="10"/>
      <c r="I707" s="10"/>
      <c r="J707" s="9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9"/>
      <c r="G708" s="10"/>
      <c r="H708" s="10"/>
      <c r="I708" s="10"/>
      <c r="J708" s="9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9"/>
      <c r="G709" s="10"/>
      <c r="H709" s="10"/>
      <c r="I709" s="10"/>
      <c r="J709" s="9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9"/>
      <c r="G710" s="10"/>
      <c r="H710" s="10"/>
      <c r="I710" s="10"/>
      <c r="J710" s="9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9"/>
      <c r="G711" s="10"/>
      <c r="H711" s="10"/>
      <c r="I711" s="10"/>
      <c r="J711" s="9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9"/>
      <c r="G712" s="10"/>
      <c r="H712" s="10"/>
      <c r="I712" s="10"/>
      <c r="J712" s="9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9"/>
      <c r="G713" s="10"/>
      <c r="H713" s="10"/>
      <c r="I713" s="10"/>
      <c r="J713" s="9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9"/>
      <c r="G714" s="10"/>
      <c r="H714" s="10"/>
      <c r="I714" s="10"/>
      <c r="J714" s="9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9"/>
      <c r="G715" s="10"/>
      <c r="H715" s="10"/>
      <c r="I715" s="10"/>
      <c r="J715" s="9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9"/>
      <c r="G716" s="10"/>
      <c r="H716" s="10"/>
      <c r="I716" s="10"/>
      <c r="J716" s="9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9"/>
      <c r="G717" s="10"/>
      <c r="H717" s="10"/>
      <c r="I717" s="10"/>
      <c r="J717" s="9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9"/>
      <c r="G718" s="10"/>
      <c r="H718" s="10"/>
      <c r="I718" s="10"/>
      <c r="J718" s="9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9"/>
      <c r="G719" s="10"/>
      <c r="H719" s="10"/>
      <c r="I719" s="10"/>
      <c r="J719" s="9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9"/>
      <c r="G720" s="10"/>
      <c r="H720" s="10"/>
      <c r="I720" s="10"/>
      <c r="J720" s="9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9"/>
      <c r="G721" s="10"/>
      <c r="H721" s="10"/>
      <c r="I721" s="10"/>
      <c r="J721" s="9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9"/>
      <c r="G722" s="10"/>
      <c r="H722" s="10"/>
      <c r="I722" s="10"/>
      <c r="J722" s="9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9"/>
      <c r="G723" s="10"/>
      <c r="H723" s="10"/>
      <c r="I723" s="10"/>
      <c r="J723" s="9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9"/>
      <c r="G724" s="10"/>
      <c r="H724" s="10"/>
      <c r="I724" s="10"/>
      <c r="J724" s="9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9"/>
      <c r="G725" s="10"/>
      <c r="H725" s="10"/>
      <c r="I725" s="10"/>
      <c r="J725" s="9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9"/>
      <c r="G726" s="10"/>
      <c r="H726" s="10"/>
      <c r="I726" s="10"/>
      <c r="J726" s="9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9"/>
      <c r="G727" s="10"/>
      <c r="H727" s="10"/>
      <c r="I727" s="10"/>
      <c r="J727" s="9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9"/>
      <c r="G728" s="10"/>
      <c r="H728" s="10"/>
      <c r="I728" s="10"/>
      <c r="J728" s="9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9"/>
      <c r="G729" s="10"/>
      <c r="H729" s="10"/>
      <c r="I729" s="10"/>
      <c r="J729" s="9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9"/>
      <c r="G730" s="10"/>
      <c r="H730" s="10"/>
      <c r="I730" s="10"/>
      <c r="J730" s="9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9"/>
      <c r="G731" s="10"/>
      <c r="H731" s="10"/>
      <c r="I731" s="10"/>
      <c r="J731" s="9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9"/>
      <c r="G732" s="10"/>
      <c r="H732" s="10"/>
      <c r="I732" s="10"/>
      <c r="J732" s="9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9"/>
      <c r="G733" s="10"/>
      <c r="H733" s="10"/>
      <c r="I733" s="10"/>
      <c r="J733" s="9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9"/>
      <c r="G734" s="10"/>
      <c r="H734" s="10"/>
      <c r="I734" s="10"/>
      <c r="J734" s="9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9"/>
      <c r="G735" s="10"/>
      <c r="H735" s="10"/>
      <c r="I735" s="10"/>
      <c r="J735" s="9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9"/>
      <c r="G736" s="10"/>
      <c r="H736" s="10"/>
      <c r="I736" s="10"/>
      <c r="J736" s="9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9"/>
      <c r="G737" s="10"/>
      <c r="H737" s="10"/>
      <c r="I737" s="10"/>
      <c r="J737" s="9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9"/>
      <c r="G738" s="10"/>
      <c r="H738" s="10"/>
      <c r="I738" s="10"/>
      <c r="J738" s="9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9"/>
      <c r="G739" s="10"/>
      <c r="H739" s="10"/>
      <c r="I739" s="10"/>
      <c r="J739" s="9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9"/>
      <c r="G740" s="10"/>
      <c r="H740" s="10"/>
      <c r="I740" s="10"/>
      <c r="J740" s="9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9"/>
      <c r="G741" s="10"/>
      <c r="H741" s="10"/>
      <c r="I741" s="10"/>
      <c r="J741" s="9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9"/>
      <c r="G742" s="10"/>
      <c r="H742" s="10"/>
      <c r="I742" s="10"/>
      <c r="J742" s="9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9"/>
      <c r="G743" s="10"/>
      <c r="H743" s="10"/>
      <c r="I743" s="10"/>
      <c r="J743" s="9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9"/>
      <c r="G744" s="10"/>
      <c r="H744" s="10"/>
      <c r="I744" s="10"/>
      <c r="J744" s="9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9"/>
      <c r="G745" s="10"/>
      <c r="H745" s="10"/>
      <c r="I745" s="10"/>
      <c r="J745" s="9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9"/>
      <c r="G746" s="10"/>
      <c r="H746" s="10"/>
      <c r="I746" s="10"/>
      <c r="J746" s="9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9"/>
      <c r="G747" s="10"/>
      <c r="H747" s="10"/>
      <c r="I747" s="10"/>
      <c r="J747" s="9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9"/>
      <c r="G748" s="10"/>
      <c r="H748" s="10"/>
      <c r="I748" s="10"/>
      <c r="J748" s="9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9"/>
      <c r="G749" s="10"/>
      <c r="H749" s="10"/>
      <c r="I749" s="10"/>
      <c r="J749" s="9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9"/>
      <c r="G750" s="10"/>
      <c r="H750" s="10"/>
      <c r="I750" s="10"/>
      <c r="J750" s="9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9"/>
      <c r="G751" s="10"/>
      <c r="H751" s="10"/>
      <c r="I751" s="10"/>
      <c r="J751" s="9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9"/>
      <c r="G752" s="10"/>
      <c r="H752" s="10"/>
      <c r="I752" s="10"/>
      <c r="J752" s="9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9"/>
      <c r="G753" s="10"/>
      <c r="H753" s="10"/>
      <c r="I753" s="10"/>
      <c r="J753" s="9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9"/>
      <c r="G754" s="10"/>
      <c r="H754" s="10"/>
      <c r="I754" s="10"/>
      <c r="J754" s="9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9"/>
      <c r="G755" s="10"/>
      <c r="H755" s="10"/>
      <c r="I755" s="10"/>
      <c r="J755" s="9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9"/>
      <c r="G756" s="10"/>
      <c r="H756" s="10"/>
      <c r="I756" s="10"/>
      <c r="J756" s="9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9"/>
      <c r="G757" s="10"/>
      <c r="H757" s="10"/>
      <c r="I757" s="10"/>
      <c r="J757" s="9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9"/>
      <c r="G758" s="10"/>
      <c r="H758" s="10"/>
      <c r="I758" s="10"/>
      <c r="J758" s="9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9"/>
      <c r="G759" s="10"/>
      <c r="H759" s="10"/>
      <c r="I759" s="10"/>
      <c r="J759" s="9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9"/>
      <c r="G760" s="10"/>
      <c r="H760" s="10"/>
      <c r="I760" s="10"/>
      <c r="J760" s="9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9"/>
      <c r="G761" s="10"/>
      <c r="H761" s="10"/>
      <c r="I761" s="10"/>
      <c r="J761" s="9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9"/>
      <c r="G762" s="10"/>
      <c r="H762" s="10"/>
      <c r="I762" s="10"/>
      <c r="J762" s="9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9"/>
      <c r="G763" s="10"/>
      <c r="H763" s="10"/>
      <c r="I763" s="10"/>
      <c r="J763" s="9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9"/>
      <c r="G764" s="10"/>
      <c r="H764" s="10"/>
      <c r="I764" s="10"/>
      <c r="J764" s="9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9"/>
      <c r="G765" s="10"/>
      <c r="H765" s="10"/>
      <c r="I765" s="10"/>
      <c r="J765" s="9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9"/>
      <c r="G766" s="10"/>
      <c r="H766" s="10"/>
      <c r="I766" s="10"/>
      <c r="J766" s="9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9"/>
      <c r="G767" s="10"/>
      <c r="H767" s="10"/>
      <c r="I767" s="10"/>
      <c r="J767" s="9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9"/>
      <c r="G768" s="10"/>
      <c r="H768" s="10"/>
      <c r="I768" s="10"/>
      <c r="J768" s="9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9"/>
      <c r="G769" s="10"/>
      <c r="H769" s="10"/>
      <c r="I769" s="10"/>
      <c r="J769" s="9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9"/>
      <c r="G770" s="10"/>
      <c r="H770" s="10"/>
      <c r="I770" s="10"/>
      <c r="J770" s="9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9"/>
      <c r="G771" s="10"/>
      <c r="H771" s="10"/>
      <c r="I771" s="10"/>
      <c r="J771" s="9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9"/>
      <c r="G772" s="10"/>
      <c r="H772" s="10"/>
      <c r="I772" s="10"/>
      <c r="J772" s="9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9"/>
      <c r="G773" s="10"/>
      <c r="H773" s="10"/>
      <c r="I773" s="10"/>
      <c r="J773" s="9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9"/>
      <c r="G774" s="10"/>
      <c r="H774" s="10"/>
      <c r="I774" s="10"/>
      <c r="J774" s="9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9"/>
      <c r="G775" s="10"/>
      <c r="H775" s="10"/>
      <c r="I775" s="10"/>
      <c r="J775" s="9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9"/>
      <c r="G776" s="10"/>
      <c r="H776" s="10"/>
      <c r="I776" s="10"/>
      <c r="J776" s="9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9"/>
      <c r="G777" s="10"/>
      <c r="H777" s="10"/>
      <c r="I777" s="10"/>
      <c r="J777" s="9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9"/>
      <c r="G778" s="10"/>
      <c r="H778" s="10"/>
      <c r="I778" s="10"/>
      <c r="J778" s="9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9"/>
      <c r="G779" s="10"/>
      <c r="H779" s="10"/>
      <c r="I779" s="10"/>
      <c r="J779" s="9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9"/>
      <c r="G780" s="10"/>
      <c r="H780" s="10"/>
      <c r="I780" s="10"/>
      <c r="J780" s="9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9"/>
      <c r="G781" s="10"/>
      <c r="H781" s="10"/>
      <c r="I781" s="10"/>
      <c r="J781" s="9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9"/>
      <c r="G782" s="10"/>
      <c r="H782" s="10"/>
      <c r="I782" s="10"/>
      <c r="J782" s="9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9"/>
      <c r="G783" s="10"/>
      <c r="H783" s="10"/>
      <c r="I783" s="10"/>
      <c r="J783" s="9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9"/>
      <c r="G784" s="10"/>
      <c r="H784" s="10"/>
      <c r="I784" s="10"/>
      <c r="J784" s="9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9"/>
      <c r="G785" s="10"/>
      <c r="H785" s="10"/>
      <c r="I785" s="10"/>
      <c r="J785" s="9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9"/>
      <c r="G786" s="10"/>
      <c r="H786" s="10"/>
      <c r="I786" s="10"/>
      <c r="J786" s="9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9"/>
      <c r="G787" s="10"/>
      <c r="H787" s="10"/>
      <c r="I787" s="10"/>
      <c r="J787" s="9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9"/>
      <c r="G788" s="10"/>
      <c r="H788" s="10"/>
      <c r="I788" s="10"/>
      <c r="J788" s="9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9"/>
      <c r="G789" s="10"/>
      <c r="H789" s="10"/>
      <c r="I789" s="10"/>
      <c r="J789" s="9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9"/>
      <c r="G790" s="10"/>
      <c r="H790" s="10"/>
      <c r="I790" s="10"/>
      <c r="J790" s="9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9"/>
      <c r="G791" s="10"/>
      <c r="H791" s="10"/>
      <c r="I791" s="10"/>
      <c r="J791" s="9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9"/>
      <c r="G792" s="10"/>
      <c r="H792" s="10"/>
      <c r="I792" s="10"/>
      <c r="J792" s="9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9"/>
      <c r="G793" s="10"/>
      <c r="H793" s="10"/>
      <c r="I793" s="10"/>
      <c r="J793" s="9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9"/>
      <c r="G794" s="10"/>
      <c r="H794" s="10"/>
      <c r="I794" s="10"/>
      <c r="J794" s="9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9"/>
      <c r="G795" s="10"/>
      <c r="H795" s="10"/>
      <c r="I795" s="10"/>
      <c r="J795" s="9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9"/>
      <c r="G796" s="10"/>
      <c r="H796" s="10"/>
      <c r="I796" s="10"/>
      <c r="J796" s="9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9"/>
      <c r="G797" s="10"/>
      <c r="H797" s="10"/>
      <c r="I797" s="10"/>
      <c r="J797" s="9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9"/>
      <c r="G798" s="10"/>
      <c r="H798" s="10"/>
      <c r="I798" s="10"/>
      <c r="J798" s="9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9"/>
      <c r="G799" s="10"/>
      <c r="H799" s="10"/>
      <c r="I799" s="10"/>
      <c r="J799" s="9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9"/>
      <c r="G800" s="10"/>
      <c r="H800" s="10"/>
      <c r="I800" s="10"/>
      <c r="J800" s="9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9"/>
      <c r="G801" s="10"/>
      <c r="H801" s="10"/>
      <c r="I801" s="10"/>
      <c r="J801" s="9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9"/>
      <c r="G802" s="10"/>
      <c r="H802" s="10"/>
      <c r="I802" s="10"/>
      <c r="J802" s="9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9"/>
      <c r="G803" s="10"/>
      <c r="H803" s="10"/>
      <c r="I803" s="10"/>
      <c r="J803" s="9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9"/>
      <c r="G804" s="10"/>
      <c r="H804" s="10"/>
      <c r="I804" s="10"/>
      <c r="J804" s="9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9"/>
      <c r="G805" s="10"/>
      <c r="H805" s="10"/>
      <c r="I805" s="10"/>
      <c r="J805" s="9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9"/>
      <c r="G806" s="10"/>
      <c r="H806" s="10"/>
      <c r="I806" s="10"/>
      <c r="J806" s="9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9"/>
      <c r="G807" s="10"/>
      <c r="H807" s="10"/>
      <c r="I807" s="10"/>
      <c r="J807" s="9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9"/>
      <c r="G808" s="10"/>
      <c r="H808" s="10"/>
      <c r="I808" s="10"/>
      <c r="J808" s="9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9"/>
      <c r="G809" s="10"/>
      <c r="H809" s="10"/>
      <c r="I809" s="10"/>
      <c r="J809" s="9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9"/>
      <c r="G810" s="10"/>
      <c r="H810" s="10"/>
      <c r="I810" s="10"/>
      <c r="J810" s="9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9"/>
      <c r="G811" s="10"/>
      <c r="H811" s="10"/>
      <c r="I811" s="10"/>
      <c r="J811" s="9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9"/>
      <c r="G812" s="10"/>
      <c r="H812" s="10"/>
      <c r="I812" s="10"/>
      <c r="J812" s="9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9"/>
      <c r="G813" s="10"/>
      <c r="H813" s="10"/>
      <c r="I813" s="10"/>
      <c r="J813" s="9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9"/>
      <c r="G814" s="10"/>
      <c r="H814" s="10"/>
      <c r="I814" s="10"/>
      <c r="J814" s="9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9"/>
      <c r="G815" s="10"/>
      <c r="H815" s="10"/>
      <c r="I815" s="10"/>
      <c r="J815" s="9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9"/>
      <c r="G816" s="10"/>
      <c r="H816" s="10"/>
      <c r="I816" s="10"/>
      <c r="J816" s="9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9"/>
      <c r="G817" s="10"/>
      <c r="H817" s="10"/>
      <c r="I817" s="10"/>
      <c r="J817" s="9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9"/>
      <c r="G818" s="10"/>
      <c r="H818" s="10"/>
      <c r="I818" s="10"/>
      <c r="J818" s="9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9"/>
      <c r="G819" s="10"/>
      <c r="H819" s="10"/>
      <c r="I819" s="10"/>
      <c r="J819" s="9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9"/>
      <c r="G820" s="10"/>
      <c r="H820" s="10"/>
      <c r="I820" s="10"/>
      <c r="J820" s="9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9"/>
      <c r="G821" s="10"/>
      <c r="H821" s="10"/>
      <c r="I821" s="10"/>
      <c r="J821" s="9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9"/>
      <c r="G822" s="10"/>
      <c r="H822" s="10"/>
      <c r="I822" s="10"/>
      <c r="J822" s="9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9"/>
      <c r="G823" s="10"/>
      <c r="H823" s="10"/>
      <c r="I823" s="10"/>
      <c r="J823" s="9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9"/>
      <c r="G824" s="10"/>
      <c r="H824" s="10"/>
      <c r="I824" s="10"/>
      <c r="J824" s="9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9"/>
      <c r="G825" s="10"/>
      <c r="H825" s="10"/>
      <c r="I825" s="10"/>
      <c r="J825" s="9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9"/>
      <c r="G826" s="10"/>
      <c r="H826" s="10"/>
      <c r="I826" s="10"/>
      <c r="J826" s="9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9"/>
      <c r="G827" s="10"/>
      <c r="H827" s="10"/>
      <c r="I827" s="10"/>
      <c r="J827" s="9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9"/>
      <c r="G828" s="10"/>
      <c r="H828" s="10"/>
      <c r="I828" s="10"/>
      <c r="J828" s="9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9"/>
      <c r="G829" s="10"/>
      <c r="H829" s="10"/>
      <c r="I829" s="10"/>
      <c r="J829" s="9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9"/>
      <c r="G830" s="10"/>
      <c r="H830" s="10"/>
      <c r="I830" s="10"/>
      <c r="J830" s="9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9"/>
      <c r="G831" s="10"/>
      <c r="H831" s="10"/>
      <c r="I831" s="10"/>
      <c r="J831" s="9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9"/>
      <c r="G832" s="10"/>
      <c r="H832" s="10"/>
      <c r="I832" s="10"/>
      <c r="J832" s="9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9"/>
      <c r="G833" s="10"/>
      <c r="H833" s="10"/>
      <c r="I833" s="10"/>
      <c r="J833" s="9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9"/>
      <c r="G834" s="10"/>
      <c r="H834" s="10"/>
      <c r="I834" s="10"/>
      <c r="J834" s="9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9"/>
      <c r="G835" s="10"/>
      <c r="H835" s="10"/>
      <c r="I835" s="10"/>
      <c r="J835" s="9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9"/>
      <c r="G836" s="10"/>
      <c r="H836" s="10"/>
      <c r="I836" s="10"/>
      <c r="J836" s="9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9"/>
      <c r="G837" s="10"/>
      <c r="H837" s="10"/>
      <c r="I837" s="10"/>
      <c r="J837" s="9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9"/>
      <c r="G838" s="10"/>
      <c r="H838" s="10"/>
      <c r="I838" s="10"/>
      <c r="J838" s="9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9"/>
      <c r="G839" s="10"/>
      <c r="H839" s="10"/>
      <c r="I839" s="10"/>
      <c r="J839" s="9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9"/>
      <c r="G840" s="10"/>
      <c r="H840" s="10"/>
      <c r="I840" s="10"/>
      <c r="J840" s="9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9"/>
      <c r="G841" s="10"/>
      <c r="H841" s="10"/>
      <c r="I841" s="10"/>
      <c r="J841" s="9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9"/>
      <c r="G842" s="10"/>
      <c r="H842" s="10"/>
      <c r="I842" s="10"/>
      <c r="J842" s="9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9"/>
      <c r="G843" s="10"/>
      <c r="H843" s="10"/>
      <c r="I843" s="10"/>
      <c r="J843" s="9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9"/>
      <c r="G844" s="10"/>
      <c r="H844" s="10"/>
      <c r="I844" s="10"/>
      <c r="J844" s="9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9"/>
      <c r="G845" s="10"/>
      <c r="H845" s="10"/>
      <c r="I845" s="10"/>
      <c r="J845" s="9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9"/>
      <c r="G846" s="10"/>
      <c r="H846" s="10"/>
      <c r="I846" s="10"/>
      <c r="J846" s="9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9"/>
      <c r="G847" s="10"/>
      <c r="H847" s="10"/>
      <c r="I847" s="10"/>
      <c r="J847" s="9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9"/>
      <c r="G848" s="10"/>
      <c r="H848" s="10"/>
      <c r="I848" s="10"/>
      <c r="J848" s="9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9"/>
      <c r="G849" s="10"/>
      <c r="H849" s="10"/>
      <c r="I849" s="10"/>
      <c r="J849" s="9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9"/>
      <c r="G850" s="10"/>
      <c r="H850" s="10"/>
      <c r="I850" s="10"/>
      <c r="J850" s="9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9"/>
      <c r="G851" s="10"/>
      <c r="H851" s="10"/>
      <c r="I851" s="10"/>
      <c r="J851" s="9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9"/>
      <c r="G852" s="10"/>
      <c r="H852" s="10"/>
      <c r="I852" s="10"/>
      <c r="J852" s="9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9"/>
      <c r="G853" s="10"/>
      <c r="H853" s="10"/>
      <c r="I853" s="10"/>
      <c r="J853" s="9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9"/>
      <c r="G854" s="10"/>
      <c r="H854" s="10"/>
      <c r="I854" s="10"/>
      <c r="J854" s="9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9"/>
      <c r="G855" s="10"/>
      <c r="H855" s="10"/>
      <c r="I855" s="10"/>
      <c r="J855" s="9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9"/>
      <c r="G856" s="10"/>
      <c r="H856" s="10"/>
      <c r="I856" s="10"/>
      <c r="J856" s="9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9"/>
      <c r="G857" s="10"/>
      <c r="H857" s="10"/>
      <c r="I857" s="10"/>
      <c r="J857" s="9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9"/>
      <c r="G858" s="10"/>
      <c r="H858" s="10"/>
      <c r="I858" s="10"/>
      <c r="J858" s="9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9"/>
      <c r="G859" s="10"/>
      <c r="H859" s="10"/>
      <c r="I859" s="10"/>
      <c r="J859" s="9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9"/>
      <c r="G860" s="10"/>
      <c r="H860" s="10"/>
      <c r="I860" s="10"/>
      <c r="J860" s="9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9"/>
      <c r="G861" s="10"/>
      <c r="H861" s="10"/>
      <c r="I861" s="10"/>
      <c r="J861" s="9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9"/>
      <c r="G862" s="10"/>
      <c r="H862" s="10"/>
      <c r="I862" s="10"/>
      <c r="J862" s="9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9"/>
      <c r="G863" s="10"/>
      <c r="H863" s="10"/>
      <c r="I863" s="10"/>
      <c r="J863" s="9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9"/>
      <c r="G864" s="10"/>
      <c r="H864" s="10"/>
      <c r="I864" s="10"/>
      <c r="J864" s="9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9"/>
      <c r="G865" s="10"/>
      <c r="H865" s="10"/>
      <c r="I865" s="10"/>
      <c r="J865" s="9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9"/>
      <c r="G866" s="10"/>
      <c r="H866" s="10"/>
      <c r="I866" s="10"/>
      <c r="J866" s="9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9"/>
      <c r="G867" s="10"/>
      <c r="H867" s="10"/>
      <c r="I867" s="10"/>
      <c r="J867" s="9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9"/>
      <c r="G868" s="10"/>
      <c r="H868" s="10"/>
      <c r="I868" s="10"/>
      <c r="J868" s="9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9"/>
      <c r="G869" s="10"/>
      <c r="H869" s="10"/>
      <c r="I869" s="10"/>
      <c r="J869" s="9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9"/>
      <c r="G870" s="10"/>
      <c r="H870" s="10"/>
      <c r="I870" s="10"/>
      <c r="J870" s="9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9"/>
      <c r="G871" s="10"/>
      <c r="H871" s="10"/>
      <c r="I871" s="10"/>
      <c r="J871" s="9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9"/>
      <c r="G872" s="10"/>
      <c r="H872" s="10"/>
      <c r="I872" s="10"/>
      <c r="J872" s="9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9"/>
      <c r="G873" s="10"/>
      <c r="H873" s="10"/>
      <c r="I873" s="10"/>
      <c r="J873" s="9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9"/>
      <c r="G874" s="10"/>
      <c r="H874" s="10"/>
      <c r="I874" s="10"/>
      <c r="J874" s="9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9"/>
      <c r="G875" s="10"/>
      <c r="H875" s="10"/>
      <c r="I875" s="10"/>
      <c r="J875" s="9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9"/>
      <c r="G876" s="10"/>
      <c r="H876" s="10"/>
      <c r="I876" s="10"/>
      <c r="J876" s="9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9"/>
      <c r="G877" s="10"/>
      <c r="H877" s="10"/>
      <c r="I877" s="10"/>
      <c r="J877" s="9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9"/>
      <c r="G878" s="10"/>
      <c r="H878" s="10"/>
      <c r="I878" s="10"/>
      <c r="J878" s="9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9"/>
      <c r="G879" s="10"/>
      <c r="H879" s="10"/>
      <c r="I879" s="10"/>
      <c r="J879" s="9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9"/>
      <c r="G880" s="10"/>
      <c r="H880" s="10"/>
      <c r="I880" s="10"/>
      <c r="J880" s="9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9"/>
      <c r="G881" s="10"/>
      <c r="H881" s="10"/>
      <c r="I881" s="10"/>
      <c r="J881" s="9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9"/>
      <c r="G882" s="10"/>
      <c r="H882" s="10"/>
      <c r="I882" s="10"/>
      <c r="J882" s="9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9"/>
      <c r="G883" s="10"/>
      <c r="H883" s="10"/>
      <c r="I883" s="10"/>
      <c r="J883" s="9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9"/>
      <c r="G884" s="10"/>
      <c r="H884" s="10"/>
      <c r="I884" s="10"/>
      <c r="J884" s="9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9"/>
      <c r="G885" s="10"/>
      <c r="H885" s="10"/>
      <c r="I885" s="10"/>
      <c r="J885" s="9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9"/>
      <c r="G886" s="10"/>
      <c r="H886" s="10"/>
      <c r="I886" s="10"/>
      <c r="J886" s="9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9"/>
      <c r="G887" s="10"/>
      <c r="H887" s="10"/>
      <c r="I887" s="10"/>
      <c r="J887" s="9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9"/>
      <c r="G888" s="10"/>
      <c r="H888" s="10"/>
      <c r="I888" s="10"/>
      <c r="J888" s="9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9"/>
      <c r="G889" s="10"/>
      <c r="H889" s="10"/>
      <c r="I889" s="10"/>
      <c r="J889" s="9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9"/>
      <c r="G890" s="10"/>
      <c r="H890" s="10"/>
      <c r="I890" s="10"/>
      <c r="J890" s="9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9"/>
      <c r="G891" s="10"/>
      <c r="H891" s="10"/>
      <c r="I891" s="10"/>
      <c r="J891" s="9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9"/>
      <c r="G892" s="10"/>
      <c r="H892" s="10"/>
      <c r="I892" s="10"/>
      <c r="J892" s="9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9"/>
      <c r="G893" s="10"/>
      <c r="H893" s="10"/>
      <c r="I893" s="10"/>
      <c r="J893" s="9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9"/>
      <c r="G894" s="10"/>
      <c r="H894" s="10"/>
      <c r="I894" s="10"/>
      <c r="J894" s="9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9"/>
      <c r="G895" s="10"/>
      <c r="H895" s="10"/>
      <c r="I895" s="10"/>
      <c r="J895" s="9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9"/>
      <c r="G896" s="10"/>
      <c r="H896" s="10"/>
      <c r="I896" s="10"/>
      <c r="J896" s="9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9"/>
      <c r="G897" s="10"/>
      <c r="H897" s="10"/>
      <c r="I897" s="10"/>
      <c r="J897" s="9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9"/>
      <c r="G898" s="10"/>
      <c r="H898" s="10"/>
      <c r="I898" s="10"/>
      <c r="J898" s="9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9"/>
      <c r="G899" s="10"/>
      <c r="H899" s="10"/>
      <c r="I899" s="10"/>
      <c r="J899" s="9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9"/>
      <c r="G900" s="10"/>
      <c r="H900" s="10"/>
      <c r="I900" s="10"/>
      <c r="J900" s="9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9"/>
      <c r="G901" s="10"/>
      <c r="H901" s="10"/>
      <c r="I901" s="10"/>
      <c r="J901" s="9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9"/>
      <c r="G902" s="10"/>
      <c r="H902" s="10"/>
      <c r="I902" s="10"/>
      <c r="J902" s="9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9"/>
      <c r="G903" s="10"/>
      <c r="H903" s="10"/>
      <c r="I903" s="10"/>
      <c r="J903" s="9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9"/>
      <c r="G904" s="10"/>
      <c r="H904" s="10"/>
      <c r="I904" s="10"/>
      <c r="J904" s="9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9"/>
      <c r="G905" s="10"/>
      <c r="H905" s="10"/>
      <c r="I905" s="10"/>
      <c r="J905" s="9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9"/>
      <c r="G906" s="10"/>
      <c r="H906" s="10"/>
      <c r="I906" s="10"/>
      <c r="J906" s="9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9"/>
      <c r="G907" s="10"/>
      <c r="H907" s="10"/>
      <c r="I907" s="10"/>
      <c r="J907" s="9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9"/>
      <c r="G908" s="10"/>
      <c r="H908" s="10"/>
      <c r="I908" s="10"/>
      <c r="J908" s="9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9"/>
      <c r="G909" s="10"/>
      <c r="H909" s="10"/>
      <c r="I909" s="10"/>
      <c r="J909" s="9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9"/>
      <c r="G910" s="10"/>
      <c r="H910" s="10"/>
      <c r="I910" s="10"/>
      <c r="J910" s="9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9"/>
      <c r="G911" s="10"/>
      <c r="H911" s="10"/>
      <c r="I911" s="10"/>
      <c r="J911" s="9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9"/>
      <c r="G912" s="10"/>
      <c r="H912" s="10"/>
      <c r="I912" s="10"/>
      <c r="J912" s="9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9"/>
      <c r="G913" s="10"/>
      <c r="H913" s="10"/>
      <c r="I913" s="10"/>
      <c r="J913" s="9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9"/>
      <c r="G914" s="10"/>
      <c r="H914" s="10"/>
      <c r="I914" s="10"/>
      <c r="J914" s="9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9"/>
      <c r="G915" s="10"/>
      <c r="H915" s="10"/>
      <c r="I915" s="10"/>
      <c r="J915" s="9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9"/>
      <c r="G916" s="10"/>
      <c r="H916" s="10"/>
      <c r="I916" s="10"/>
      <c r="J916" s="9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9"/>
      <c r="G917" s="10"/>
      <c r="H917" s="10"/>
      <c r="I917" s="10"/>
      <c r="J917" s="9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9"/>
      <c r="G918" s="10"/>
      <c r="H918" s="10"/>
      <c r="I918" s="10"/>
      <c r="J918" s="9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9"/>
      <c r="G919" s="10"/>
      <c r="H919" s="10"/>
      <c r="I919" s="10"/>
      <c r="J919" s="9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9"/>
      <c r="G920" s="10"/>
      <c r="H920" s="10"/>
      <c r="I920" s="10"/>
      <c r="J920" s="9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9"/>
      <c r="G921" s="10"/>
      <c r="H921" s="10"/>
      <c r="I921" s="10"/>
      <c r="J921" s="9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9"/>
      <c r="G922" s="10"/>
      <c r="H922" s="10"/>
      <c r="I922" s="10"/>
      <c r="J922" s="9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9"/>
      <c r="G923" s="10"/>
      <c r="H923" s="10"/>
      <c r="I923" s="10"/>
      <c r="J923" s="9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9"/>
      <c r="G924" s="10"/>
      <c r="H924" s="10"/>
      <c r="I924" s="10"/>
      <c r="J924" s="9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9"/>
      <c r="G925" s="10"/>
      <c r="H925" s="10"/>
      <c r="I925" s="10"/>
      <c r="J925" s="9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9"/>
      <c r="G926" s="10"/>
      <c r="H926" s="10"/>
      <c r="I926" s="10"/>
      <c r="J926" s="9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9"/>
      <c r="G927" s="10"/>
      <c r="H927" s="10"/>
      <c r="I927" s="10"/>
      <c r="J927" s="9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9"/>
      <c r="G928" s="10"/>
      <c r="H928" s="10"/>
      <c r="I928" s="10"/>
      <c r="J928" s="9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9"/>
      <c r="G929" s="10"/>
      <c r="H929" s="10"/>
      <c r="I929" s="10"/>
      <c r="J929" s="9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9"/>
      <c r="G930" s="10"/>
      <c r="H930" s="10"/>
      <c r="I930" s="10"/>
      <c r="J930" s="9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9"/>
      <c r="G931" s="10"/>
      <c r="H931" s="10"/>
      <c r="I931" s="10"/>
      <c r="J931" s="9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9"/>
      <c r="G932" s="10"/>
      <c r="H932" s="10"/>
      <c r="I932" s="10"/>
      <c r="J932" s="9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9"/>
      <c r="G933" s="10"/>
      <c r="H933" s="10"/>
      <c r="I933" s="10"/>
      <c r="J933" s="9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9"/>
      <c r="G934" s="10"/>
      <c r="H934" s="10"/>
      <c r="I934" s="10"/>
      <c r="J934" s="9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9"/>
      <c r="G935" s="10"/>
      <c r="H935" s="10"/>
      <c r="I935" s="10"/>
      <c r="J935" s="9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9"/>
      <c r="G936" s="10"/>
      <c r="H936" s="10"/>
      <c r="I936" s="10"/>
      <c r="J936" s="9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9"/>
      <c r="G937" s="10"/>
      <c r="H937" s="10"/>
      <c r="I937" s="10"/>
      <c r="J937" s="9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9"/>
      <c r="G938" s="10"/>
      <c r="H938" s="10"/>
      <c r="I938" s="10"/>
      <c r="J938" s="9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9"/>
      <c r="G939" s="10"/>
      <c r="H939" s="10"/>
      <c r="I939" s="10"/>
      <c r="J939" s="9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9"/>
      <c r="G940" s="10"/>
      <c r="H940" s="10"/>
      <c r="I940" s="10"/>
      <c r="J940" s="9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9"/>
      <c r="G941" s="10"/>
      <c r="H941" s="10"/>
      <c r="I941" s="10"/>
      <c r="J941" s="9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9"/>
      <c r="G942" s="10"/>
      <c r="H942" s="10"/>
      <c r="I942" s="10"/>
      <c r="J942" s="9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9"/>
      <c r="G943" s="10"/>
      <c r="H943" s="10"/>
      <c r="I943" s="10"/>
      <c r="J943" s="9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9"/>
      <c r="G944" s="10"/>
      <c r="H944" s="10"/>
      <c r="I944" s="10"/>
      <c r="J944" s="9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9"/>
      <c r="G945" s="10"/>
      <c r="H945" s="10"/>
      <c r="I945" s="10"/>
      <c r="J945" s="9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9"/>
      <c r="G946" s="10"/>
      <c r="H946" s="10"/>
      <c r="I946" s="10"/>
      <c r="J946" s="9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9"/>
      <c r="G947" s="10"/>
      <c r="H947" s="10"/>
      <c r="I947" s="10"/>
      <c r="J947" s="9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9"/>
      <c r="G948" s="10"/>
      <c r="H948" s="10"/>
      <c r="I948" s="10"/>
      <c r="J948" s="9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9"/>
      <c r="G949" s="10"/>
      <c r="H949" s="10"/>
      <c r="I949" s="10"/>
      <c r="J949" s="9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9"/>
      <c r="G950" s="10"/>
      <c r="H950" s="10"/>
      <c r="I950" s="10"/>
      <c r="J950" s="9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9"/>
      <c r="G951" s="10"/>
      <c r="H951" s="10"/>
      <c r="I951" s="10"/>
      <c r="J951" s="9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9"/>
      <c r="G952" s="10"/>
      <c r="H952" s="10"/>
      <c r="I952" s="10"/>
      <c r="J952" s="9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9"/>
      <c r="G953" s="10"/>
      <c r="H953" s="10"/>
      <c r="I953" s="10"/>
      <c r="J953" s="9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9"/>
      <c r="G954" s="10"/>
      <c r="H954" s="10"/>
      <c r="I954" s="10"/>
      <c r="J954" s="9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9"/>
      <c r="G955" s="10"/>
      <c r="H955" s="10"/>
      <c r="I955" s="10"/>
      <c r="J955" s="9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9"/>
      <c r="G956" s="10"/>
      <c r="H956" s="10"/>
      <c r="I956" s="10"/>
      <c r="J956" s="9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9"/>
      <c r="G957" s="10"/>
      <c r="H957" s="10"/>
      <c r="I957" s="10"/>
      <c r="J957" s="9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9"/>
      <c r="G958" s="10"/>
      <c r="H958" s="10"/>
      <c r="I958" s="10"/>
      <c r="J958" s="9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9"/>
      <c r="G959" s="10"/>
      <c r="H959" s="10"/>
      <c r="I959" s="10"/>
      <c r="J959" s="9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9"/>
      <c r="G960" s="10"/>
      <c r="H960" s="10"/>
      <c r="I960" s="10"/>
      <c r="J960" s="9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9"/>
      <c r="G961" s="10"/>
      <c r="H961" s="10"/>
      <c r="I961" s="10"/>
      <c r="J961" s="9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9"/>
      <c r="G962" s="10"/>
      <c r="H962" s="10"/>
      <c r="I962" s="10"/>
      <c r="J962" s="9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9"/>
      <c r="G963" s="10"/>
      <c r="H963" s="10"/>
      <c r="I963" s="10"/>
      <c r="J963" s="9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9"/>
      <c r="G964" s="10"/>
      <c r="H964" s="10"/>
      <c r="I964" s="10"/>
      <c r="J964" s="9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9"/>
      <c r="G965" s="10"/>
      <c r="H965" s="10"/>
      <c r="I965" s="10"/>
      <c r="J965" s="9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9"/>
      <c r="G966" s="10"/>
      <c r="H966" s="10"/>
      <c r="I966" s="10"/>
      <c r="J966" s="9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9"/>
      <c r="G967" s="10"/>
      <c r="H967" s="10"/>
      <c r="I967" s="10"/>
      <c r="J967" s="9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9"/>
      <c r="G968" s="10"/>
      <c r="H968" s="10"/>
      <c r="I968" s="10"/>
      <c r="J968" s="9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9"/>
      <c r="G969" s="10"/>
      <c r="H969" s="10"/>
      <c r="I969" s="10"/>
      <c r="J969" s="9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9"/>
      <c r="G970" s="10"/>
      <c r="H970" s="10"/>
      <c r="I970" s="10"/>
      <c r="J970" s="9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9"/>
      <c r="G971" s="10"/>
      <c r="H971" s="10"/>
      <c r="I971" s="10"/>
      <c r="J971" s="9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9"/>
      <c r="G972" s="10"/>
      <c r="H972" s="10"/>
      <c r="I972" s="10"/>
      <c r="J972" s="9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9"/>
      <c r="G973" s="10"/>
      <c r="H973" s="10"/>
      <c r="I973" s="10"/>
      <c r="J973" s="9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9"/>
      <c r="G974" s="10"/>
      <c r="H974" s="10"/>
      <c r="I974" s="10"/>
      <c r="J974" s="9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9"/>
      <c r="G975" s="10"/>
      <c r="H975" s="10"/>
      <c r="I975" s="10"/>
      <c r="J975" s="9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9"/>
      <c r="G976" s="10"/>
      <c r="H976" s="10"/>
      <c r="I976" s="10"/>
      <c r="J976" s="9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9"/>
      <c r="G977" s="10"/>
      <c r="H977" s="10"/>
      <c r="I977" s="10"/>
      <c r="J977" s="9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9"/>
      <c r="G978" s="10"/>
      <c r="H978" s="10"/>
      <c r="I978" s="10"/>
      <c r="J978" s="9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9"/>
      <c r="G979" s="10"/>
      <c r="H979" s="10"/>
      <c r="I979" s="10"/>
      <c r="J979" s="9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9"/>
      <c r="G980" s="10"/>
      <c r="H980" s="10"/>
      <c r="I980" s="10"/>
      <c r="J980" s="9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9"/>
      <c r="G981" s="10"/>
      <c r="H981" s="10"/>
      <c r="I981" s="10"/>
      <c r="J981" s="9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9"/>
      <c r="G982" s="10"/>
      <c r="H982" s="10"/>
      <c r="I982" s="10"/>
      <c r="J982" s="9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9"/>
      <c r="G983" s="10"/>
      <c r="H983" s="10"/>
      <c r="I983" s="10"/>
      <c r="J983" s="9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9"/>
      <c r="G984" s="10"/>
      <c r="H984" s="10"/>
      <c r="I984" s="10"/>
      <c r="J984" s="9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9"/>
      <c r="G985" s="10"/>
      <c r="H985" s="10"/>
      <c r="I985" s="10"/>
      <c r="J985" s="9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9"/>
      <c r="G986" s="10"/>
      <c r="H986" s="10"/>
      <c r="I986" s="10"/>
      <c r="J986" s="9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9"/>
      <c r="G987" s="10"/>
      <c r="H987" s="10"/>
      <c r="I987" s="10"/>
      <c r="J987" s="9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9"/>
      <c r="G988" s="10"/>
      <c r="H988" s="10"/>
      <c r="I988" s="10"/>
      <c r="J988" s="9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9"/>
      <c r="G989" s="10"/>
      <c r="H989" s="10"/>
      <c r="I989" s="10"/>
      <c r="J989" s="9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9"/>
      <c r="G990" s="10"/>
      <c r="H990" s="10"/>
      <c r="I990" s="10"/>
      <c r="J990" s="9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9"/>
      <c r="G991" s="10"/>
      <c r="H991" s="10"/>
      <c r="I991" s="10"/>
      <c r="J991" s="9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9"/>
      <c r="G992" s="10"/>
      <c r="H992" s="10"/>
      <c r="I992" s="10"/>
      <c r="J992" s="9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9"/>
      <c r="G993" s="10"/>
      <c r="H993" s="10"/>
      <c r="I993" s="10"/>
      <c r="J993" s="9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9"/>
      <c r="G994" s="10"/>
      <c r="H994" s="10"/>
      <c r="I994" s="10"/>
      <c r="J994" s="9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9"/>
      <c r="G995" s="10"/>
      <c r="H995" s="10"/>
      <c r="I995" s="10"/>
      <c r="J995" s="9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9"/>
      <c r="G996" s="10"/>
      <c r="H996" s="10"/>
      <c r="I996" s="10"/>
      <c r="J996" s="9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1">
    <mergeCell ref="A1:H2"/>
  </mergeCells>
  <dataValidations>
    <dataValidation type="list" allowBlank="1" showDropDown="1" sqref="E6:E9">
      <formula1>"CNC Machine Operator,Quality Inspector"</formula1>
    </dataValidation>
    <dataValidation type="custom" allowBlank="1" showDropDown="1" sqref="F6:H9">
      <formula1>AND(ISNUMBER(F6),(NOT(OR(NOT(ISERROR(DATEVALUE(F6))), AND(ISNUMBER(F6), LEFT(CELL("format", F6))="D")))))</formula1>
    </dataValidation>
    <dataValidation type="list" allowBlank="1" showDropDown="1" sqref="D6:D9">
      <formula1>"Production,Quality,Administration"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6.0"/>
    <col customWidth="1" min="3" max="3" width="19.63"/>
    <col customWidth="1" min="4" max="4" width="14.88"/>
    <col customWidth="1" min="5" max="5" width="20.38"/>
    <col customWidth="1" min="6" max="6" width="16.75"/>
    <col customWidth="1" min="7" max="7" width="21.5"/>
    <col customWidth="1" min="8" max="8" width="11.38"/>
    <col customWidth="1" min="9" max="9" width="13.38"/>
    <col customWidth="1" min="10" max="26" width="7.63"/>
  </cols>
  <sheetData>
    <row r="1" ht="15.0" customHeight="1">
      <c r="A1" s="1" t="s">
        <v>14</v>
      </c>
      <c r="B1" s="2"/>
      <c r="C1" s="2"/>
      <c r="D1" s="2"/>
      <c r="E1" s="2"/>
      <c r="F1" s="2"/>
      <c r="G1" s="3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7"/>
      <c r="F2" s="7"/>
      <c r="G2" s="8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10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10"/>
      <c r="I4" s="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1" t="s">
        <v>15</v>
      </c>
      <c r="B5" s="11" t="s">
        <v>1</v>
      </c>
      <c r="C5" s="11" t="s">
        <v>2</v>
      </c>
      <c r="D5" s="11" t="s">
        <v>16</v>
      </c>
      <c r="E5" s="29" t="s">
        <v>17</v>
      </c>
      <c r="F5" s="29" t="s">
        <v>18</v>
      </c>
      <c r="G5" s="11" t="s">
        <v>19</v>
      </c>
      <c r="H5" s="14"/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2.5" customHeight="1">
      <c r="A6" s="30"/>
      <c r="B6" s="17"/>
      <c r="C6" s="17"/>
      <c r="D6" s="31"/>
      <c r="E6" s="18"/>
      <c r="F6" s="32"/>
      <c r="G6" s="17"/>
      <c r="H6" s="14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2.5" customHeight="1">
      <c r="A7" s="33">
        <v>46037.0</v>
      </c>
      <c r="B7" s="21">
        <v>2.0</v>
      </c>
      <c r="C7" s="34" t="str">
        <f>VLOOKUP(B7,Employees!A:B,2,FALSE)</f>
        <v>Umesh Kumar</v>
      </c>
      <c r="D7" s="35">
        <v>500.0</v>
      </c>
      <c r="E7" s="36" t="s">
        <v>20</v>
      </c>
      <c r="F7" s="37" t="s">
        <v>21</v>
      </c>
      <c r="G7" s="21" t="s">
        <v>22</v>
      </c>
      <c r="H7" s="10"/>
      <c r="I7" s="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33">
        <v>46037.0</v>
      </c>
      <c r="B8" s="21">
        <v>1.0</v>
      </c>
      <c r="C8" s="34" t="str">
        <f>VLOOKUP(B8,Employees!A:B,2,FALSE)</f>
        <v>Rajat Hela</v>
      </c>
      <c r="D8" s="35">
        <v>225.0</v>
      </c>
      <c r="E8" s="36" t="s">
        <v>20</v>
      </c>
      <c r="F8" s="37" t="s">
        <v>21</v>
      </c>
      <c r="G8" s="21" t="s">
        <v>23</v>
      </c>
      <c r="H8" s="10"/>
      <c r="I8" s="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33">
        <v>46043.0</v>
      </c>
      <c r="B9" s="21">
        <v>1.0</v>
      </c>
      <c r="C9" s="34" t="str">
        <f>VLOOKUP(B9,Employees!A:B,2,FALSE)</f>
        <v>Rajat Hela</v>
      </c>
      <c r="D9" s="35">
        <v>3000.0</v>
      </c>
      <c r="E9" s="36" t="s">
        <v>20</v>
      </c>
      <c r="F9" s="37" t="s">
        <v>21</v>
      </c>
      <c r="G9" s="21" t="s">
        <v>22</v>
      </c>
      <c r="H9" s="10"/>
      <c r="I9" s="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3">
        <v>46043.0</v>
      </c>
      <c r="B10" s="21">
        <v>2.0</v>
      </c>
      <c r="C10" s="34" t="str">
        <f>VLOOKUP(B10,Employees!A:B,2,FALSE)</f>
        <v>Umesh Kumar</v>
      </c>
      <c r="D10" s="35">
        <v>2000.0</v>
      </c>
      <c r="E10" s="36" t="s">
        <v>20</v>
      </c>
      <c r="F10" s="37" t="s">
        <v>21</v>
      </c>
      <c r="G10" s="21" t="s">
        <v>22</v>
      </c>
      <c r="H10" s="10"/>
      <c r="I10" s="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3">
        <v>46055.0</v>
      </c>
      <c r="B11" s="21">
        <v>1.0</v>
      </c>
      <c r="C11" s="34" t="str">
        <f>VLOOKUP(B11,Employees!A:B,2,FALSE)</f>
        <v>Rajat Hela</v>
      </c>
      <c r="D11" s="35">
        <v>1500.0</v>
      </c>
      <c r="E11" s="36" t="s">
        <v>20</v>
      </c>
      <c r="F11" s="37" t="s">
        <v>21</v>
      </c>
      <c r="G11" s="21" t="s">
        <v>22</v>
      </c>
      <c r="H11" s="10"/>
      <c r="I11" s="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33">
        <v>46072.0</v>
      </c>
      <c r="B12" s="21">
        <v>2.0</v>
      </c>
      <c r="C12" s="34" t="str">
        <f>VLOOKUP(B12,Employees!A:B,2,FALSE)</f>
        <v>Umesh Kumar</v>
      </c>
      <c r="D12" s="35">
        <v>12000.0</v>
      </c>
      <c r="E12" s="36" t="s">
        <v>20</v>
      </c>
      <c r="F12" s="37" t="s">
        <v>21</v>
      </c>
      <c r="G12" s="21" t="s">
        <v>22</v>
      </c>
      <c r="H12" s="10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33">
        <v>46074.0</v>
      </c>
      <c r="B13" s="21">
        <v>1.0</v>
      </c>
      <c r="C13" s="34" t="str">
        <f>VLOOKUP(B13,Employees!A:B,2,FALSE)</f>
        <v>Rajat Hela</v>
      </c>
      <c r="D13" s="35">
        <v>2000.0</v>
      </c>
      <c r="E13" s="36" t="s">
        <v>20</v>
      </c>
      <c r="F13" s="37" t="s">
        <v>21</v>
      </c>
      <c r="G13" s="21" t="s">
        <v>22</v>
      </c>
      <c r="H13" s="10"/>
      <c r="I13" s="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33">
        <v>46084.0</v>
      </c>
      <c r="B14" s="21">
        <v>1.0</v>
      </c>
      <c r="C14" s="34" t="str">
        <f>VLOOKUP(B14,Employees!A:B,2,FALSE)</f>
        <v>Rajat Hela</v>
      </c>
      <c r="D14" s="35">
        <v>1000.0</v>
      </c>
      <c r="E14" s="36" t="s">
        <v>20</v>
      </c>
      <c r="F14" s="37" t="s">
        <v>24</v>
      </c>
      <c r="G14" s="21" t="s">
        <v>22</v>
      </c>
      <c r="H14" s="10"/>
      <c r="I14" s="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33">
        <v>46103.0</v>
      </c>
      <c r="B15" s="21">
        <v>1.0</v>
      </c>
      <c r="C15" s="34" t="str">
        <f>VLOOKUP(B15,Employees!A:B,2,FALSE)</f>
        <v>Rajat Hela</v>
      </c>
      <c r="D15" s="35">
        <v>3000.0</v>
      </c>
      <c r="E15" s="36" t="s">
        <v>20</v>
      </c>
      <c r="F15" s="37" t="s">
        <v>24</v>
      </c>
      <c r="G15" s="21" t="s">
        <v>22</v>
      </c>
      <c r="H15" s="10"/>
      <c r="I15" s="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33">
        <v>46109.0</v>
      </c>
      <c r="B16" s="21">
        <v>2.0</v>
      </c>
      <c r="C16" s="34" t="str">
        <f>VLOOKUP(B16,Employees!A:B,2,FALSE)</f>
        <v>Umesh Kumar</v>
      </c>
      <c r="D16" s="35">
        <v>5000.0</v>
      </c>
      <c r="E16" s="36" t="s">
        <v>20</v>
      </c>
      <c r="F16" s="37" t="s">
        <v>24</v>
      </c>
      <c r="G16" s="21" t="s">
        <v>22</v>
      </c>
      <c r="H16" s="10"/>
      <c r="I16" s="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10"/>
      <c r="I17" s="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10"/>
      <c r="I18" s="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10"/>
      <c r="I19" s="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10"/>
      <c r="I20" s="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10"/>
      <c r="I21" s="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10"/>
      <c r="I22" s="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10"/>
      <c r="I23" s="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10"/>
      <c r="I24" s="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10"/>
      <c r="I25" s="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10"/>
      <c r="I26" s="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10"/>
      <c r="I27" s="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10"/>
      <c r="I28" s="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10"/>
      <c r="I29" s="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10"/>
      <c r="I30" s="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10"/>
      <c r="I31" s="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10"/>
      <c r="I32" s="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10"/>
      <c r="I33" s="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10"/>
      <c r="I34" s="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10"/>
      <c r="I35" s="9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10"/>
      <c r="I36" s="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10"/>
      <c r="I37" s="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10"/>
      <c r="I38" s="9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10"/>
      <c r="I39" s="9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10"/>
      <c r="I40" s="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10"/>
      <c r="I41" s="9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10"/>
      <c r="I42" s="9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10"/>
      <c r="I43" s="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10"/>
      <c r="I44" s="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10"/>
      <c r="I45" s="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10"/>
      <c r="I46" s="9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10"/>
      <c r="I47" s="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10"/>
      <c r="I48" s="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10"/>
      <c r="I49" s="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10"/>
      <c r="I50" s="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10"/>
      <c r="I51" s="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10"/>
      <c r="I52" s="9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10"/>
      <c r="I53" s="9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10"/>
      <c r="I54" s="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10"/>
      <c r="I55" s="9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10"/>
      <c r="I56" s="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10"/>
      <c r="I57" s="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10"/>
      <c r="I58" s="9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10"/>
      <c r="I59" s="9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10"/>
      <c r="I60" s="9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10"/>
      <c r="I61" s="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10"/>
      <c r="I62" s="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10"/>
      <c r="I63" s="9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10"/>
      <c r="I64" s="9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10"/>
      <c r="I65" s="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10"/>
      <c r="I66" s="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10"/>
      <c r="I67" s="9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10"/>
      <c r="I68" s="9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10"/>
      <c r="I69" s="9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10"/>
      <c r="I70" s="9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10"/>
      <c r="I71" s="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10"/>
      <c r="I72" s="9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10"/>
      <c r="I73" s="9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10"/>
      <c r="I74" s="9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10"/>
      <c r="I75" s="9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10"/>
      <c r="I76" s="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10"/>
      <c r="I77" s="9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10"/>
      <c r="I78" s="9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10"/>
      <c r="I79" s="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10"/>
      <c r="I80" s="9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10"/>
      <c r="I81" s="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10"/>
      <c r="I82" s="9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10"/>
      <c r="I83" s="9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10"/>
      <c r="I84" s="9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10"/>
      <c r="I85" s="9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10"/>
      <c r="I86" s="9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10"/>
      <c r="I87" s="9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10"/>
      <c r="I88" s="9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10"/>
      <c r="I89" s="9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10"/>
      <c r="I90" s="9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10"/>
      <c r="I91" s="9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10"/>
      <c r="I92" s="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10"/>
      <c r="I93" s="9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10"/>
      <c r="I94" s="9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10"/>
      <c r="I95" s="9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10"/>
      <c r="I96" s="9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10"/>
      <c r="I97" s="9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10"/>
      <c r="I98" s="9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10"/>
      <c r="I99" s="9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10"/>
      <c r="I100" s="9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10"/>
      <c r="I101" s="9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10"/>
      <c r="I102" s="9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10"/>
      <c r="I103" s="9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10"/>
      <c r="I104" s="9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10"/>
      <c r="I105" s="9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10"/>
      <c r="I106" s="9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10"/>
      <c r="I107" s="9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10"/>
      <c r="I108" s="9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10"/>
      <c r="I109" s="9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10"/>
      <c r="I110" s="9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10"/>
      <c r="I111" s="9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10"/>
      <c r="I112" s="9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10"/>
      <c r="I113" s="9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10"/>
      <c r="I114" s="9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10"/>
      <c r="I115" s="9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10"/>
      <c r="I116" s="9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10"/>
      <c r="I117" s="9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10"/>
      <c r="I118" s="9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10"/>
      <c r="I119" s="9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10"/>
      <c r="I120" s="9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10"/>
      <c r="I121" s="9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10"/>
      <c r="I122" s="9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10"/>
      <c r="I123" s="9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10"/>
      <c r="I124" s="9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10"/>
      <c r="I125" s="9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10"/>
      <c r="I126" s="9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10"/>
      <c r="I127" s="9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10"/>
      <c r="I128" s="9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10"/>
      <c r="I129" s="9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10"/>
      <c r="I130" s="9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10"/>
      <c r="I131" s="9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10"/>
      <c r="I132" s="9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10"/>
      <c r="I133" s="9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10"/>
      <c r="I134" s="9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10"/>
      <c r="I135" s="9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10"/>
      <c r="I136" s="9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10"/>
      <c r="I137" s="9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10"/>
      <c r="I138" s="9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10"/>
      <c r="I139" s="9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10"/>
      <c r="I140" s="9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10"/>
      <c r="I141" s="9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10"/>
      <c r="I142" s="9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10"/>
      <c r="I143" s="9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10"/>
      <c r="I144" s="9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10"/>
      <c r="I145" s="9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10"/>
      <c r="I146" s="9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10"/>
      <c r="I147" s="9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10"/>
      <c r="I148" s="9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10"/>
      <c r="I149" s="9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10"/>
      <c r="I150" s="9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10"/>
      <c r="I151" s="9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10"/>
      <c r="I152" s="9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10"/>
      <c r="I153" s="9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10"/>
      <c r="I154" s="9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10"/>
      <c r="I155" s="9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10"/>
      <c r="I156" s="9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10"/>
      <c r="I157" s="9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10"/>
      <c r="I158" s="9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10"/>
      <c r="I159" s="9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10"/>
      <c r="I160" s="9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10"/>
      <c r="I161" s="9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10"/>
      <c r="I162" s="9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10"/>
      <c r="I163" s="9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10"/>
      <c r="I164" s="9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10"/>
      <c r="I165" s="9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10"/>
      <c r="I166" s="9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10"/>
      <c r="I167" s="9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10"/>
      <c r="I168" s="9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10"/>
      <c r="I169" s="9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10"/>
      <c r="I170" s="9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10"/>
      <c r="I171" s="9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10"/>
      <c r="I172" s="9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10"/>
      <c r="I173" s="9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10"/>
      <c r="I174" s="9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10"/>
      <c r="I175" s="9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10"/>
      <c r="I176" s="9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10"/>
      <c r="I177" s="9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10"/>
      <c r="I178" s="9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10"/>
      <c r="I179" s="9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10"/>
      <c r="I180" s="9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10"/>
      <c r="I181" s="9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10"/>
      <c r="I182" s="9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10"/>
      <c r="I183" s="9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10"/>
      <c r="I184" s="9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10"/>
      <c r="I185" s="9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10"/>
      <c r="I186" s="9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10"/>
      <c r="I187" s="9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10"/>
      <c r="I188" s="9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10"/>
      <c r="I189" s="9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10"/>
      <c r="I190" s="9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10"/>
      <c r="I191" s="9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10"/>
      <c r="I192" s="9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10"/>
      <c r="I193" s="9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10"/>
      <c r="I194" s="9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10"/>
      <c r="I195" s="9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10"/>
      <c r="I196" s="9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10"/>
      <c r="I197" s="9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10"/>
      <c r="I198" s="9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10"/>
      <c r="I199" s="9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10"/>
      <c r="I200" s="9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10"/>
      <c r="I201" s="9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10"/>
      <c r="I202" s="9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10"/>
      <c r="I203" s="9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10"/>
      <c r="I204" s="9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10"/>
      <c r="I205" s="9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10"/>
      <c r="I206" s="9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10"/>
      <c r="I207" s="9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10"/>
      <c r="I208" s="9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10"/>
      <c r="I209" s="9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10"/>
      <c r="I210" s="9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10"/>
      <c r="I211" s="9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10"/>
      <c r="I212" s="9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10"/>
      <c r="I213" s="9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10"/>
      <c r="I214" s="9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10"/>
      <c r="I215" s="9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10"/>
      <c r="I216" s="9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10"/>
      <c r="I217" s="9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10"/>
      <c r="I218" s="9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10"/>
      <c r="I219" s="9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10"/>
      <c r="I220" s="9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10"/>
      <c r="I221" s="9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10"/>
      <c r="I222" s="9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10"/>
      <c r="I223" s="9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10"/>
      <c r="I224" s="9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10"/>
      <c r="I225" s="9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10"/>
      <c r="I226" s="9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10"/>
      <c r="I227" s="9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10"/>
      <c r="I228" s="9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10"/>
      <c r="I229" s="9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10"/>
      <c r="I230" s="9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10"/>
      <c r="I231" s="9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10"/>
      <c r="I232" s="9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10"/>
      <c r="I233" s="9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10"/>
      <c r="I234" s="9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10"/>
      <c r="I235" s="9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10"/>
      <c r="I236" s="9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10"/>
      <c r="I237" s="9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10"/>
      <c r="I238" s="9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10"/>
      <c r="I239" s="9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10"/>
      <c r="I240" s="9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10"/>
      <c r="I241" s="9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10"/>
      <c r="I242" s="9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10"/>
      <c r="I243" s="9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10"/>
      <c r="I244" s="9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10"/>
      <c r="I245" s="9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10"/>
      <c r="I246" s="9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10"/>
      <c r="I247" s="9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10"/>
      <c r="I248" s="9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10"/>
      <c r="I249" s="9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10"/>
      <c r="I250" s="9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10"/>
      <c r="I251" s="9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10"/>
      <c r="I252" s="9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10"/>
      <c r="I253" s="9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10"/>
      <c r="I254" s="9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10"/>
      <c r="I255" s="9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10"/>
      <c r="I256" s="9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10"/>
      <c r="I257" s="9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10"/>
      <c r="I258" s="9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10"/>
      <c r="I259" s="9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10"/>
      <c r="I260" s="9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10"/>
      <c r="I261" s="9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10"/>
      <c r="I262" s="9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10"/>
      <c r="I263" s="9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10"/>
      <c r="I264" s="9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10"/>
      <c r="I265" s="9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10"/>
      <c r="I266" s="9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10"/>
      <c r="I267" s="9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10"/>
      <c r="I268" s="9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10"/>
      <c r="I269" s="9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10"/>
      <c r="I270" s="9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10"/>
      <c r="I271" s="9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10"/>
      <c r="I272" s="9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10"/>
      <c r="I273" s="9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10"/>
      <c r="I274" s="9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10"/>
      <c r="I275" s="9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10"/>
      <c r="I276" s="9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10"/>
      <c r="I277" s="9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10"/>
      <c r="I278" s="9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10"/>
      <c r="I279" s="9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10"/>
      <c r="I280" s="9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10"/>
      <c r="I281" s="9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10"/>
      <c r="I282" s="9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10"/>
      <c r="I283" s="9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10"/>
      <c r="I284" s="9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10"/>
      <c r="I285" s="9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10"/>
      <c r="I286" s="9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10"/>
      <c r="I287" s="9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10"/>
      <c r="I288" s="9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10"/>
      <c r="I289" s="9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10"/>
      <c r="I290" s="9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10"/>
      <c r="I291" s="9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10"/>
      <c r="I292" s="9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10"/>
      <c r="I293" s="9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10"/>
      <c r="I294" s="9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10"/>
      <c r="I295" s="9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10"/>
      <c r="I296" s="9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10"/>
      <c r="I297" s="9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10"/>
      <c r="I298" s="9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10"/>
      <c r="I299" s="9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10"/>
      <c r="I300" s="9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10"/>
      <c r="I301" s="9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10"/>
      <c r="I302" s="9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10"/>
      <c r="I303" s="9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10"/>
      <c r="I304" s="9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10"/>
      <c r="I305" s="9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10"/>
      <c r="I306" s="9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10"/>
      <c r="I307" s="9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10"/>
      <c r="I308" s="9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10"/>
      <c r="I309" s="9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10"/>
      <c r="I310" s="9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10"/>
      <c r="I311" s="9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10"/>
      <c r="I312" s="9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10"/>
      <c r="I313" s="9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10"/>
      <c r="I314" s="9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10"/>
      <c r="I315" s="9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10"/>
      <c r="I316" s="9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10"/>
      <c r="I317" s="9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10"/>
      <c r="I318" s="9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10"/>
      <c r="I319" s="9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10"/>
      <c r="I320" s="9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10"/>
      <c r="I321" s="9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10"/>
      <c r="I322" s="9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10"/>
      <c r="I323" s="9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10"/>
      <c r="I324" s="9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10"/>
      <c r="I325" s="9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10"/>
      <c r="I326" s="9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10"/>
      <c r="I327" s="9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10"/>
      <c r="I328" s="9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10"/>
      <c r="I329" s="9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10"/>
      <c r="I330" s="9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10"/>
      <c r="I331" s="9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10"/>
      <c r="I332" s="9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10"/>
      <c r="I333" s="9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10"/>
      <c r="I334" s="9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10"/>
      <c r="I335" s="9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10"/>
      <c r="I336" s="9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10"/>
      <c r="I337" s="9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10"/>
      <c r="I338" s="9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10"/>
      <c r="I339" s="9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10"/>
      <c r="I340" s="9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10"/>
      <c r="I341" s="9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10"/>
      <c r="I342" s="9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10"/>
      <c r="I343" s="9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10"/>
      <c r="I344" s="9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10"/>
      <c r="I345" s="9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10"/>
      <c r="I346" s="9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10"/>
      <c r="I347" s="9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10"/>
      <c r="I348" s="9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10"/>
      <c r="I349" s="9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10"/>
      <c r="I350" s="9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10"/>
      <c r="I351" s="9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10"/>
      <c r="I352" s="9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10"/>
      <c r="I353" s="9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10"/>
      <c r="I354" s="9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10"/>
      <c r="I355" s="9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10"/>
      <c r="I356" s="9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10"/>
      <c r="I357" s="9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10"/>
      <c r="I358" s="9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10"/>
      <c r="I359" s="9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10"/>
      <c r="I360" s="9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10"/>
      <c r="I361" s="9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10"/>
      <c r="I362" s="9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10"/>
      <c r="I363" s="9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10"/>
      <c r="I364" s="9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10"/>
      <c r="I365" s="9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10"/>
      <c r="I366" s="9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10"/>
      <c r="I367" s="9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10"/>
      <c r="I368" s="9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10"/>
      <c r="I369" s="9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10"/>
      <c r="I370" s="9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10"/>
      <c r="I371" s="9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10"/>
      <c r="I372" s="9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10"/>
      <c r="I373" s="9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10"/>
      <c r="I374" s="9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10"/>
      <c r="I375" s="9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10"/>
      <c r="I376" s="9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10"/>
      <c r="I377" s="9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10"/>
      <c r="I378" s="9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10"/>
      <c r="I379" s="9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10"/>
      <c r="I380" s="9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10"/>
      <c r="I381" s="9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10"/>
      <c r="I382" s="9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10"/>
      <c r="I383" s="9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10"/>
      <c r="I384" s="9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10"/>
      <c r="I385" s="9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10"/>
      <c r="I386" s="9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10"/>
      <c r="I387" s="9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10"/>
      <c r="I388" s="9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10"/>
      <c r="I389" s="9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10"/>
      <c r="I390" s="9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10"/>
      <c r="I391" s="9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10"/>
      <c r="I392" s="9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10"/>
      <c r="I393" s="9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10"/>
      <c r="I394" s="9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10"/>
      <c r="I395" s="9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10"/>
      <c r="I396" s="9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10"/>
      <c r="I397" s="9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10"/>
      <c r="I398" s="9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10"/>
      <c r="I399" s="9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10"/>
      <c r="I400" s="9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10"/>
      <c r="I401" s="9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10"/>
      <c r="I402" s="9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10"/>
      <c r="I403" s="9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10"/>
      <c r="I404" s="9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10"/>
      <c r="I405" s="9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10"/>
      <c r="I406" s="9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10"/>
      <c r="I407" s="9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10"/>
      <c r="I408" s="9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10"/>
      <c r="I409" s="9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10"/>
      <c r="I410" s="9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10"/>
      <c r="I411" s="9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10"/>
      <c r="I412" s="9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10"/>
      <c r="I413" s="9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10"/>
      <c r="I414" s="9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10"/>
      <c r="I415" s="9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10"/>
      <c r="I416" s="9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10"/>
      <c r="I417" s="9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10"/>
      <c r="I418" s="9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10"/>
      <c r="I419" s="9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10"/>
      <c r="I420" s="9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10"/>
      <c r="I421" s="9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10"/>
      <c r="I422" s="9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10"/>
      <c r="I423" s="9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10"/>
      <c r="I424" s="9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10"/>
      <c r="I425" s="9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10"/>
      <c r="I426" s="9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10"/>
      <c r="I427" s="9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10"/>
      <c r="I428" s="9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10"/>
      <c r="I429" s="9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10"/>
      <c r="I430" s="9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10"/>
      <c r="I431" s="9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10"/>
      <c r="I432" s="9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10"/>
      <c r="I433" s="9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10"/>
      <c r="I434" s="9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10"/>
      <c r="I435" s="9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10"/>
      <c r="I436" s="9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10"/>
      <c r="I437" s="9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10"/>
      <c r="I438" s="9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10"/>
      <c r="I439" s="9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10"/>
      <c r="I440" s="9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10"/>
      <c r="I441" s="9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10"/>
      <c r="I442" s="9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10"/>
      <c r="I443" s="9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10"/>
      <c r="I444" s="9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10"/>
      <c r="I445" s="9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10"/>
      <c r="I446" s="9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10"/>
      <c r="I447" s="9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10"/>
      <c r="I448" s="9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10"/>
      <c r="I449" s="9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10"/>
      <c r="I450" s="9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10"/>
      <c r="I451" s="9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10"/>
      <c r="I452" s="9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10"/>
      <c r="I453" s="9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10"/>
      <c r="I454" s="9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10"/>
      <c r="I455" s="9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10"/>
      <c r="I456" s="9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10"/>
      <c r="I457" s="9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10"/>
      <c r="I458" s="9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10"/>
      <c r="I459" s="9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10"/>
      <c r="I460" s="9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10"/>
      <c r="I461" s="9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10"/>
      <c r="I462" s="9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10"/>
      <c r="I463" s="9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10"/>
      <c r="I464" s="9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10"/>
      <c r="I465" s="9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10"/>
      <c r="I466" s="9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10"/>
      <c r="I467" s="9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10"/>
      <c r="I468" s="9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10"/>
      <c r="I469" s="9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10"/>
      <c r="I470" s="9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10"/>
      <c r="I471" s="9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10"/>
      <c r="I472" s="9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10"/>
      <c r="I473" s="9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10"/>
      <c r="I474" s="9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10"/>
      <c r="I475" s="9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10"/>
      <c r="I476" s="9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10"/>
      <c r="I477" s="9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10"/>
      <c r="I478" s="9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10"/>
      <c r="I479" s="9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10"/>
      <c r="I480" s="9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10"/>
      <c r="I481" s="9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10"/>
      <c r="I482" s="9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10"/>
      <c r="I483" s="9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10"/>
      <c r="I484" s="9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10"/>
      <c r="I485" s="9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10"/>
      <c r="I486" s="9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10"/>
      <c r="I487" s="9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10"/>
      <c r="I488" s="9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10"/>
      <c r="I489" s="9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10"/>
      <c r="I490" s="9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10"/>
      <c r="I491" s="9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10"/>
      <c r="I492" s="9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10"/>
      <c r="I493" s="9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10"/>
      <c r="I494" s="9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10"/>
      <c r="I495" s="9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10"/>
      <c r="I496" s="9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10"/>
      <c r="I497" s="9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10"/>
      <c r="I498" s="9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10"/>
      <c r="I499" s="9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10"/>
      <c r="I500" s="9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10"/>
      <c r="I501" s="9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10"/>
      <c r="I502" s="9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10"/>
      <c r="I503" s="9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10"/>
      <c r="I504" s="9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10"/>
      <c r="I505" s="9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10"/>
      <c r="I506" s="9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10"/>
      <c r="I507" s="9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10"/>
      <c r="I508" s="9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10"/>
      <c r="I509" s="9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10"/>
      <c r="I510" s="9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10"/>
      <c r="I511" s="9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10"/>
      <c r="I512" s="9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10"/>
      <c r="I513" s="9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10"/>
      <c r="I514" s="9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10"/>
      <c r="I515" s="9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10"/>
      <c r="I516" s="9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10"/>
      <c r="I517" s="9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10"/>
      <c r="I518" s="9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10"/>
      <c r="I519" s="9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10"/>
      <c r="I520" s="9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10"/>
      <c r="I521" s="9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10"/>
      <c r="I522" s="9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10"/>
      <c r="I523" s="9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10"/>
      <c r="I524" s="9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10"/>
      <c r="I525" s="9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10"/>
      <c r="I526" s="9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10"/>
      <c r="I527" s="9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10"/>
      <c r="I528" s="9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10"/>
      <c r="I529" s="9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10"/>
      <c r="I530" s="9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10"/>
      <c r="I531" s="9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10"/>
      <c r="I532" s="9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10"/>
      <c r="I533" s="9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10"/>
      <c r="I534" s="9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10"/>
      <c r="I535" s="9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10"/>
      <c r="I536" s="9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10"/>
      <c r="I537" s="9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10"/>
      <c r="I538" s="9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10"/>
      <c r="I539" s="9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10"/>
      <c r="I540" s="9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10"/>
      <c r="I541" s="9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10"/>
      <c r="I542" s="9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10"/>
      <c r="I543" s="9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10"/>
      <c r="I544" s="9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10"/>
      <c r="I545" s="9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10"/>
      <c r="I546" s="9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10"/>
      <c r="I547" s="9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10"/>
      <c r="I548" s="9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10"/>
      <c r="I549" s="9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10"/>
      <c r="I550" s="9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10"/>
      <c r="I551" s="9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10"/>
      <c r="I552" s="9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10"/>
      <c r="I553" s="9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10"/>
      <c r="I554" s="9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10"/>
      <c r="I555" s="9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10"/>
      <c r="I556" s="9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10"/>
      <c r="I557" s="9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10"/>
      <c r="I558" s="9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10"/>
      <c r="I559" s="9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10"/>
      <c r="I560" s="9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10"/>
      <c r="I561" s="9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10"/>
      <c r="I562" s="9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10"/>
      <c r="I563" s="9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10"/>
      <c r="I564" s="9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10"/>
      <c r="I565" s="9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10"/>
      <c r="I566" s="9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10"/>
      <c r="I567" s="9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10"/>
      <c r="I568" s="9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10"/>
      <c r="I569" s="9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10"/>
      <c r="I570" s="9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10"/>
      <c r="I571" s="9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10"/>
      <c r="I572" s="9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10"/>
      <c r="I573" s="9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10"/>
      <c r="I574" s="9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10"/>
      <c r="I575" s="9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10"/>
      <c r="I576" s="9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10"/>
      <c r="I577" s="9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10"/>
      <c r="I578" s="9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10"/>
      <c r="I579" s="9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10"/>
      <c r="I580" s="9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10"/>
      <c r="I581" s="9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10"/>
      <c r="I582" s="9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10"/>
      <c r="I583" s="9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10"/>
      <c r="I584" s="9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10"/>
      <c r="I585" s="9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10"/>
      <c r="I586" s="9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10"/>
      <c r="I587" s="9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10"/>
      <c r="I588" s="9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10"/>
      <c r="I589" s="9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10"/>
      <c r="I590" s="9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10"/>
      <c r="I591" s="9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10"/>
      <c r="I592" s="9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10"/>
      <c r="I593" s="9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10"/>
      <c r="I594" s="9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10"/>
      <c r="I595" s="9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10"/>
      <c r="I596" s="9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10"/>
      <c r="I597" s="9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10"/>
      <c r="I598" s="9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10"/>
      <c r="I599" s="9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10"/>
      <c r="I600" s="9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10"/>
      <c r="I601" s="9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10"/>
      <c r="I602" s="9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10"/>
      <c r="I603" s="9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10"/>
      <c r="I604" s="9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10"/>
      <c r="I605" s="9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10"/>
      <c r="I606" s="9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10"/>
      <c r="I607" s="9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10"/>
      <c r="I608" s="9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10"/>
      <c r="I609" s="9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10"/>
      <c r="I610" s="9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10"/>
      <c r="I611" s="9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10"/>
      <c r="I612" s="9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10"/>
      <c r="I613" s="9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10"/>
      <c r="I614" s="9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10"/>
      <c r="I615" s="9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10"/>
      <c r="I616" s="9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10"/>
      <c r="I617" s="9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10"/>
      <c r="I618" s="9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10"/>
      <c r="I619" s="9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10"/>
      <c r="I620" s="9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10"/>
      <c r="I621" s="9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10"/>
      <c r="I622" s="9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10"/>
      <c r="I623" s="9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10"/>
      <c r="I624" s="9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10"/>
      <c r="I625" s="9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10"/>
      <c r="I626" s="9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10"/>
      <c r="I627" s="9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10"/>
      <c r="I628" s="9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10"/>
      <c r="I629" s="9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10"/>
      <c r="I630" s="9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10"/>
      <c r="I631" s="9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10"/>
      <c r="I632" s="9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10"/>
      <c r="I633" s="9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10"/>
      <c r="I634" s="9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10"/>
      <c r="I635" s="9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10"/>
      <c r="I636" s="9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10"/>
      <c r="I637" s="9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10"/>
      <c r="I638" s="9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10"/>
      <c r="I639" s="9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10"/>
      <c r="I640" s="9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10"/>
      <c r="I641" s="9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10"/>
      <c r="I642" s="9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10"/>
      <c r="I643" s="9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10"/>
      <c r="I644" s="9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10"/>
      <c r="I645" s="9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10"/>
      <c r="I646" s="9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10"/>
      <c r="I647" s="9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10"/>
      <c r="I648" s="9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10"/>
      <c r="I649" s="9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10"/>
      <c r="I650" s="9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10"/>
      <c r="I651" s="9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10"/>
      <c r="I652" s="9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10"/>
      <c r="I653" s="9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10"/>
      <c r="I654" s="9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10"/>
      <c r="I655" s="9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10"/>
      <c r="I656" s="9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10"/>
      <c r="I657" s="9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10"/>
      <c r="I658" s="9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10"/>
      <c r="I659" s="9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10"/>
      <c r="I660" s="9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10"/>
      <c r="I661" s="9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10"/>
      <c r="I662" s="9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10"/>
      <c r="I663" s="9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10"/>
      <c r="I664" s="9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10"/>
      <c r="I665" s="9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10"/>
      <c r="I666" s="9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10"/>
      <c r="I667" s="9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10"/>
      <c r="I668" s="9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10"/>
      <c r="I669" s="9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10"/>
      <c r="I670" s="9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10"/>
      <c r="I671" s="9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10"/>
      <c r="I672" s="9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10"/>
      <c r="I673" s="9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10"/>
      <c r="I674" s="9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10"/>
      <c r="I675" s="9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10"/>
      <c r="I676" s="9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10"/>
      <c r="I677" s="9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10"/>
      <c r="I678" s="9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10"/>
      <c r="I679" s="9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10"/>
      <c r="I680" s="9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10"/>
      <c r="I681" s="9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10"/>
      <c r="I682" s="9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10"/>
      <c r="I683" s="9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10"/>
      <c r="I684" s="9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10"/>
      <c r="I685" s="9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10"/>
      <c r="I686" s="9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10"/>
      <c r="I687" s="9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10"/>
      <c r="I688" s="9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10"/>
      <c r="I689" s="9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10"/>
      <c r="I690" s="9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10"/>
      <c r="I691" s="9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10"/>
      <c r="I692" s="9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10"/>
      <c r="I693" s="9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10"/>
      <c r="I694" s="9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10"/>
      <c r="I695" s="9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10"/>
      <c r="I696" s="9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10"/>
      <c r="I697" s="9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10"/>
      <c r="I698" s="9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10"/>
      <c r="I699" s="9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10"/>
      <c r="I700" s="9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10"/>
      <c r="I701" s="9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10"/>
      <c r="I702" s="9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10"/>
      <c r="I703" s="9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10"/>
      <c r="I704" s="9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10"/>
      <c r="I705" s="9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10"/>
      <c r="I706" s="9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10"/>
      <c r="I707" s="9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10"/>
      <c r="I708" s="9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10"/>
      <c r="I709" s="9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10"/>
      <c r="I710" s="9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10"/>
      <c r="I711" s="9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10"/>
      <c r="I712" s="9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10"/>
      <c r="I713" s="9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10"/>
      <c r="I714" s="9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10"/>
      <c r="I715" s="9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10"/>
      <c r="I716" s="9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10"/>
      <c r="I717" s="9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10"/>
      <c r="I718" s="9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10"/>
      <c r="I719" s="9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10"/>
      <c r="I720" s="9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10"/>
      <c r="I721" s="9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10"/>
      <c r="I722" s="9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10"/>
      <c r="I723" s="9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10"/>
      <c r="I724" s="9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10"/>
      <c r="I725" s="9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10"/>
      <c r="I726" s="9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10"/>
      <c r="I727" s="9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10"/>
      <c r="I728" s="9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10"/>
      <c r="I729" s="9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10"/>
      <c r="I730" s="9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10"/>
      <c r="I731" s="9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10"/>
      <c r="I732" s="9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10"/>
      <c r="I733" s="9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10"/>
      <c r="I734" s="9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10"/>
      <c r="I735" s="9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10"/>
      <c r="I736" s="9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10"/>
      <c r="I737" s="9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10"/>
      <c r="I738" s="9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10"/>
      <c r="I739" s="9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10"/>
      <c r="I740" s="9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10"/>
      <c r="I741" s="9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10"/>
      <c r="I742" s="9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10"/>
      <c r="I743" s="9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10"/>
      <c r="I744" s="9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10"/>
      <c r="I745" s="9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10"/>
      <c r="I746" s="9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10"/>
      <c r="I747" s="9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10"/>
      <c r="I748" s="9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10"/>
      <c r="I749" s="9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10"/>
      <c r="I750" s="9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10"/>
      <c r="I751" s="9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10"/>
      <c r="I752" s="9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10"/>
      <c r="I753" s="9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10"/>
      <c r="I754" s="9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10"/>
      <c r="I755" s="9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10"/>
      <c r="I756" s="9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10"/>
      <c r="I757" s="9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10"/>
      <c r="I758" s="9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10"/>
      <c r="I759" s="9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10"/>
      <c r="I760" s="9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10"/>
      <c r="I761" s="9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10"/>
      <c r="I762" s="9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10"/>
      <c r="I763" s="9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10"/>
      <c r="I764" s="9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10"/>
      <c r="I765" s="9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10"/>
      <c r="I766" s="9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10"/>
      <c r="I767" s="9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10"/>
      <c r="I768" s="9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10"/>
      <c r="I769" s="9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10"/>
      <c r="I770" s="9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10"/>
      <c r="I771" s="9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10"/>
      <c r="I772" s="9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10"/>
      <c r="I773" s="9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10"/>
      <c r="I774" s="9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10"/>
      <c r="I775" s="9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10"/>
      <c r="I776" s="9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10"/>
      <c r="I777" s="9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10"/>
      <c r="I778" s="9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10"/>
      <c r="I779" s="9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10"/>
      <c r="I780" s="9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10"/>
      <c r="I781" s="9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10"/>
      <c r="I782" s="9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10"/>
      <c r="I783" s="9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10"/>
      <c r="I784" s="9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10"/>
      <c r="I785" s="9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10"/>
      <c r="I786" s="9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10"/>
      <c r="I787" s="9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10"/>
      <c r="I788" s="9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10"/>
      <c r="I789" s="9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10"/>
      <c r="I790" s="9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10"/>
      <c r="I791" s="9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10"/>
      <c r="I792" s="9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10"/>
      <c r="I793" s="9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10"/>
      <c r="I794" s="9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10"/>
      <c r="I795" s="9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10"/>
      <c r="I796" s="9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10"/>
      <c r="I797" s="9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10"/>
      <c r="I798" s="9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10"/>
      <c r="I799" s="9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10"/>
      <c r="I800" s="9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10"/>
      <c r="I801" s="9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10"/>
      <c r="I802" s="9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10"/>
      <c r="I803" s="9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10"/>
      <c r="I804" s="9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10"/>
      <c r="I805" s="9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10"/>
      <c r="I806" s="9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10"/>
      <c r="I807" s="9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10"/>
      <c r="I808" s="9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10"/>
      <c r="I809" s="9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10"/>
      <c r="I810" s="9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10"/>
      <c r="I811" s="9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10"/>
      <c r="I812" s="9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10"/>
      <c r="I813" s="9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10"/>
      <c r="I814" s="9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10"/>
      <c r="I815" s="9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10"/>
      <c r="I816" s="9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10"/>
      <c r="I817" s="9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10"/>
      <c r="I818" s="9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10"/>
      <c r="I819" s="9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10"/>
      <c r="I820" s="9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10"/>
      <c r="I821" s="9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10"/>
      <c r="I822" s="9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10"/>
      <c r="I823" s="9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10"/>
      <c r="I824" s="9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10"/>
      <c r="I825" s="9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10"/>
      <c r="I826" s="9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10"/>
      <c r="I827" s="9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10"/>
      <c r="I828" s="9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10"/>
      <c r="I829" s="9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10"/>
      <c r="I830" s="9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10"/>
      <c r="I831" s="9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10"/>
      <c r="I832" s="9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10"/>
      <c r="I833" s="9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10"/>
      <c r="I834" s="9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10"/>
      <c r="I835" s="9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10"/>
      <c r="I836" s="9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10"/>
      <c r="I837" s="9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10"/>
      <c r="I838" s="9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10"/>
      <c r="I839" s="9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10"/>
      <c r="I840" s="9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10"/>
      <c r="I841" s="9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10"/>
      <c r="I842" s="9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10"/>
      <c r="I843" s="9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10"/>
      <c r="I844" s="9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10"/>
      <c r="I845" s="9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10"/>
      <c r="I846" s="9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10"/>
      <c r="I847" s="9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10"/>
      <c r="I848" s="9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10"/>
      <c r="I849" s="9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10"/>
      <c r="I850" s="9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10"/>
      <c r="I851" s="9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10"/>
      <c r="I852" s="9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10"/>
      <c r="I853" s="9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10"/>
      <c r="I854" s="9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10"/>
      <c r="I855" s="9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10"/>
      <c r="I856" s="9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10"/>
      <c r="I857" s="9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10"/>
      <c r="I858" s="9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10"/>
      <c r="I859" s="9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10"/>
      <c r="I860" s="9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10"/>
      <c r="I861" s="9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10"/>
      <c r="I862" s="9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10"/>
      <c r="I863" s="9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10"/>
      <c r="I864" s="9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10"/>
      <c r="I865" s="9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10"/>
      <c r="I866" s="9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10"/>
      <c r="I867" s="9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10"/>
      <c r="I868" s="9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10"/>
      <c r="I869" s="9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10"/>
      <c r="I870" s="9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10"/>
      <c r="I871" s="9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10"/>
      <c r="I872" s="9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10"/>
      <c r="I873" s="9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10"/>
      <c r="I874" s="9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10"/>
      <c r="I875" s="9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10"/>
      <c r="I876" s="9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10"/>
      <c r="I877" s="9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10"/>
      <c r="I878" s="9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10"/>
      <c r="I879" s="9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10"/>
      <c r="I880" s="9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10"/>
      <c r="I881" s="9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10"/>
      <c r="I882" s="9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10"/>
      <c r="I883" s="9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10"/>
      <c r="I884" s="9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10"/>
      <c r="I885" s="9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10"/>
      <c r="I886" s="9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10"/>
      <c r="I887" s="9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10"/>
      <c r="I888" s="9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10"/>
      <c r="I889" s="9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10"/>
      <c r="I890" s="9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10"/>
      <c r="I891" s="9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10"/>
      <c r="I892" s="9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10"/>
      <c r="I893" s="9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10"/>
      <c r="I894" s="9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10"/>
      <c r="I895" s="9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10"/>
      <c r="I896" s="9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10"/>
      <c r="I897" s="9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10"/>
      <c r="I898" s="9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10"/>
      <c r="I899" s="9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10"/>
      <c r="I900" s="9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10"/>
      <c r="I901" s="9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10"/>
      <c r="I902" s="9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10"/>
      <c r="I903" s="9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10"/>
      <c r="I904" s="9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10"/>
      <c r="I905" s="9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10"/>
      <c r="I906" s="9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10"/>
      <c r="I907" s="9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10"/>
      <c r="I908" s="9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10"/>
      <c r="I909" s="9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10"/>
      <c r="I910" s="9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10"/>
      <c r="I911" s="9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10"/>
      <c r="I912" s="9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10"/>
      <c r="I913" s="9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10"/>
      <c r="I914" s="9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10"/>
      <c r="I915" s="9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10"/>
      <c r="I916" s="9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10"/>
      <c r="I917" s="9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10"/>
      <c r="I918" s="9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10"/>
      <c r="I919" s="9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10"/>
      <c r="I920" s="9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10"/>
      <c r="I921" s="9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10"/>
      <c r="I922" s="9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10"/>
      <c r="I923" s="9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10"/>
      <c r="I924" s="9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10"/>
      <c r="I925" s="9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10"/>
      <c r="I926" s="9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10"/>
      <c r="I927" s="9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10"/>
      <c r="I928" s="9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10"/>
      <c r="I929" s="9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10"/>
      <c r="I930" s="9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10"/>
      <c r="I931" s="9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10"/>
      <c r="I932" s="9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10"/>
      <c r="I933" s="9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10"/>
      <c r="I934" s="9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10"/>
      <c r="I935" s="9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10"/>
      <c r="I936" s="9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10"/>
      <c r="I937" s="9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10"/>
      <c r="I938" s="9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10"/>
      <c r="I939" s="9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10"/>
      <c r="I940" s="9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10"/>
      <c r="I941" s="9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10"/>
      <c r="I942" s="9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10"/>
      <c r="I943" s="9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10"/>
      <c r="I944" s="9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10"/>
      <c r="I945" s="9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10"/>
      <c r="I946" s="9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10"/>
      <c r="I947" s="9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10"/>
      <c r="I948" s="9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10"/>
      <c r="I949" s="9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10"/>
      <c r="I950" s="9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10"/>
      <c r="I951" s="9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10"/>
      <c r="I952" s="9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10"/>
      <c r="I953" s="9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10"/>
      <c r="I954" s="9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10"/>
      <c r="I955" s="9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10"/>
      <c r="I956" s="9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10"/>
      <c r="I957" s="9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10"/>
      <c r="I958" s="9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10"/>
      <c r="I959" s="9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10"/>
      <c r="I960" s="9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10"/>
      <c r="I961" s="9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10"/>
      <c r="I962" s="9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10"/>
      <c r="I963" s="9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10"/>
      <c r="I964" s="9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10"/>
      <c r="I965" s="9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10"/>
      <c r="I966" s="9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10"/>
      <c r="I967" s="9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10"/>
      <c r="I968" s="9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10"/>
      <c r="I969" s="9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10"/>
      <c r="I970" s="9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10"/>
      <c r="I971" s="9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10"/>
      <c r="I972" s="9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10"/>
      <c r="I973" s="9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10"/>
      <c r="I974" s="9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10"/>
      <c r="I975" s="9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10"/>
      <c r="I976" s="9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10"/>
      <c r="I977" s="9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10"/>
      <c r="I978" s="9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10"/>
      <c r="I979" s="9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10"/>
      <c r="I980" s="9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10"/>
      <c r="I981" s="9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10"/>
      <c r="I982" s="9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10"/>
      <c r="I983" s="9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10"/>
      <c r="I984" s="9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10"/>
      <c r="I985" s="9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10"/>
      <c r="I986" s="9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10"/>
      <c r="I987" s="9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10"/>
      <c r="I988" s="9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10"/>
      <c r="I989" s="9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10"/>
      <c r="I990" s="9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10"/>
      <c r="I991" s="9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10"/>
      <c r="I992" s="9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10"/>
      <c r="I993" s="9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10"/>
      <c r="I994" s="9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10"/>
      <c r="I995" s="9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10"/>
      <c r="I996" s="9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10"/>
      <c r="I997" s="9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10"/>
      <c r="I998" s="9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1">
    <mergeCell ref="A1:G2"/>
  </mergeCells>
  <dataValidations>
    <dataValidation type="list" allowBlank="1" sqref="F6:F16">
      <formula1>"Pending,Deducted"</formula1>
    </dataValidation>
    <dataValidation type="custom" allowBlank="1" showDropDown="1" sqref="A6:A16">
      <formula1>OR(NOT(ISERROR(DATEVALUE(A6))), AND(ISNUMBER(A6), LEFT(CELL("format", A6))="D"))</formula1>
    </dataValidation>
    <dataValidation type="custom" allowBlank="1" showDropDown="1" sqref="D6:D16">
      <formula1>AND(ISNUMBER(D6),(NOT(OR(NOT(ISERROR(DATEVALUE(D6))), AND(ISNUMBER(D6), LEFT(CELL("format", D6))="D")))))</formula1>
    </dataValidation>
    <dataValidation type="list" allowBlank="1" sqref="E6:E16">
      <formula1>"Cash,UPI,Bank,Others"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18.75"/>
    <col customWidth="1" min="4" max="4" width="15.75"/>
    <col customWidth="1" min="5" max="5" width="24.0"/>
    <col customWidth="1" min="6" max="6" width="22.88"/>
    <col customWidth="1" min="7" max="7" width="24.0"/>
    <col customWidth="1" min="8" max="8" width="21.63"/>
    <col customWidth="1" min="9" max="9" width="20.13"/>
  </cols>
  <sheetData>
    <row r="1" ht="30.75" customHeight="1">
      <c r="A1" s="38" t="s">
        <v>25</v>
      </c>
      <c r="B1" s="39"/>
      <c r="C1" s="39"/>
      <c r="D1" s="39"/>
      <c r="E1" s="39"/>
      <c r="F1" s="39"/>
      <c r="G1" s="39"/>
      <c r="H1" s="39"/>
      <c r="I1" s="40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 ht="22.5" customHeight="1">
      <c r="A3" s="42" t="s">
        <v>26</v>
      </c>
      <c r="B3" s="42" t="s">
        <v>1</v>
      </c>
      <c r="C3" s="42" t="s">
        <v>2</v>
      </c>
      <c r="D3" s="42" t="s">
        <v>27</v>
      </c>
      <c r="E3" s="42" t="s">
        <v>28</v>
      </c>
      <c r="F3" s="42" t="s">
        <v>29</v>
      </c>
      <c r="G3" s="42" t="s">
        <v>30</v>
      </c>
      <c r="H3" s="42" t="s">
        <v>31</v>
      </c>
      <c r="I3" s="42" t="s">
        <v>32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</row>
    <row r="4" ht="22.5" customHeight="1">
      <c r="A4" s="43"/>
      <c r="B4" s="44"/>
      <c r="C4" s="44"/>
      <c r="D4" s="44"/>
      <c r="E4" s="45"/>
      <c r="F4" s="45"/>
      <c r="G4" s="45"/>
      <c r="H4" s="46"/>
      <c r="I4" s="47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ht="22.5" customHeight="1">
      <c r="A5" s="48">
        <v>46023.0</v>
      </c>
      <c r="B5" s="42">
        <v>1.0</v>
      </c>
      <c r="C5" s="44" t="str">
        <f>VLOOKUP(B5,Employees!A:B,2,FALSE)</f>
        <v>Rajat Hela</v>
      </c>
      <c r="D5" s="49">
        <f>VLOOKUP(B5,'01-2026'!A:K,11,FALSE)</f>
        <v>16274.82517</v>
      </c>
      <c r="E5" s="45">
        <f>SUMIFS(
  'Advance Register'!$D:$D,
  'Advance Register'!$B:$B,
  B5,
  'Advance Register'!$A:$A,
  "&gt;="&amp;DATE(2026,1,1),
  'Advance Register'!$A:$A,
  "&lt;="&amp;EOMONTH(DATE(2026,1,1),0)
)
</f>
        <v>3225</v>
      </c>
      <c r="F5" s="50">
        <v>0.0</v>
      </c>
      <c r="G5" s="45">
        <f t="shared" ref="G5:G11" si="1">MAX(0, D5 - E5 - F5)</f>
        <v>13049.82517</v>
      </c>
      <c r="H5" s="46" t="s">
        <v>33</v>
      </c>
      <c r="I5" s="51">
        <v>46063.0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</row>
    <row r="6" ht="22.5" customHeight="1">
      <c r="A6" s="48">
        <v>46023.0</v>
      </c>
      <c r="B6" s="42">
        <v>2.0</v>
      </c>
      <c r="C6" s="52" t="str">
        <f>VLOOKUP(B6,Employees!A:B,2,FALSE)</f>
        <v>Umesh Kumar</v>
      </c>
      <c r="D6" s="53">
        <f>VLOOKUP(B6,'01-2026'!A:K,11,FALSE)</f>
        <v>14809.09091</v>
      </c>
      <c r="E6" s="54">
        <f>SUMIFS(
  'Advance Register'!$D:$D,
  'Advance Register'!$B:$B,
  B6,
  'Advance Register'!$A:$A,
  "&gt;="&amp;DATE(2026,1,1),
  'Advance Register'!$A:$A,
  "&lt;="&amp;EOMONTH(DATE(2026,1,1),0)
)
</f>
        <v>2500</v>
      </c>
      <c r="F6" s="50">
        <v>0.0</v>
      </c>
      <c r="G6" s="54">
        <f t="shared" si="1"/>
        <v>12309.09091</v>
      </c>
      <c r="H6" s="46" t="s">
        <v>33</v>
      </c>
      <c r="I6" s="55">
        <v>46063.0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ht="22.5" customHeight="1">
      <c r="A7" s="56">
        <v>46054.0</v>
      </c>
      <c r="B7" s="57">
        <v>1.0</v>
      </c>
      <c r="C7" s="52" t="str">
        <f>VLOOKUP(B7,Employees!A:B,2,FALSE)</f>
        <v>Rajat Hela</v>
      </c>
      <c r="D7" s="53">
        <f>VLOOKUP(B7,'02-2026'!A:K,11,FALSE)</f>
        <v>16423.42657</v>
      </c>
      <c r="E7" s="54">
        <f>SUMIFS(
  'Advance Register'!$D:$D,
  'Advance Register'!$B:$B,
  B7,
  'Advance Register'!$A:$A,
  "&gt;="&amp;DATE(2026,2,1),
  'Advance Register'!$A:$A,
  "&lt;="&amp;EOMONTH(DATE(2026,2,1),0)
)
</f>
        <v>3500</v>
      </c>
      <c r="F7" s="50">
        <v>0.0</v>
      </c>
      <c r="G7" s="54">
        <f t="shared" si="1"/>
        <v>12923.42657</v>
      </c>
      <c r="H7" s="58" t="s">
        <v>33</v>
      </c>
      <c r="I7" s="55">
        <v>46089.0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</row>
    <row r="8" ht="22.5" customHeight="1">
      <c r="A8" s="56">
        <v>46054.0</v>
      </c>
      <c r="B8" s="57">
        <v>2.0</v>
      </c>
      <c r="C8" s="52" t="str">
        <f>VLOOKUP(B8,Employees!A:B,2,FALSE)</f>
        <v>Umesh Kumar</v>
      </c>
      <c r="D8" s="53">
        <f>VLOOKUP(B8,'02-2026'!A:K,11,FALSE)</f>
        <v>18081.81818</v>
      </c>
      <c r="E8" s="54">
        <f>SUMIFS(
  'Advance Register'!$D:$D,
  'Advance Register'!$B:$B,
  B8,
  'Advance Register'!$A:$A,
  "&gt;="&amp;DATE(2026,2,1),
  'Advance Register'!$A:$A,
  "&lt;="&amp;EOMONTH(DATE(2026,2,1),0)
)
</f>
        <v>12000</v>
      </c>
      <c r="F8" s="50">
        <v>0.0</v>
      </c>
      <c r="G8" s="54">
        <f t="shared" si="1"/>
        <v>6081.818182</v>
      </c>
      <c r="H8" s="58" t="s">
        <v>33</v>
      </c>
      <c r="I8" s="55">
        <v>46089.0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 ht="22.5" customHeight="1">
      <c r="A9" s="56">
        <v>46082.0</v>
      </c>
      <c r="B9" s="57">
        <v>1.0</v>
      </c>
      <c r="C9" s="52" t="str">
        <f>VLOOKUP(B9,Employees!A:B,2,FALSE)</f>
        <v>Rajat Hela</v>
      </c>
      <c r="D9" s="53">
        <f>VLOOKUP(B9,'03-2026'!A:K,11,FALSE)</f>
        <v>17552.7972</v>
      </c>
      <c r="E9" s="54">
        <f>SUMIFS(
  'Advance Register'!$D:$D,
  'Advance Register'!$B:$B,
  B9,
  'Advance Register'!$A:$A,
  "&gt;="&amp;DATE(2026,3,1),
  'Advance Register'!$A:$A,
  "&lt;="&amp;EOMONTH(DATE(2026,3,1),0)
)
</f>
        <v>4000</v>
      </c>
      <c r="F9" s="50">
        <v>0.0</v>
      </c>
      <c r="G9" s="54">
        <f t="shared" si="1"/>
        <v>13552.7972</v>
      </c>
      <c r="H9" s="58" t="s">
        <v>33</v>
      </c>
      <c r="I9" s="51">
        <v>46238.0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ht="22.5" customHeight="1">
      <c r="A10" s="56">
        <v>46082.0</v>
      </c>
      <c r="B10" s="57">
        <v>2.0</v>
      </c>
      <c r="C10" s="52" t="str">
        <f>VLOOKUP(B10,Employees!A:B,2,FALSE)</f>
        <v>Umesh Kumar</v>
      </c>
      <c r="D10" s="53">
        <f>VLOOKUP(B10,'03-2026'!A:K,11,FALSE)</f>
        <v>17074.82517</v>
      </c>
      <c r="E10" s="54">
        <f>SUMIFS(
  'Advance Register'!$D:$D,
  'Advance Register'!$B:$B,
  B10,
  'Advance Register'!$A:$A,
  "&gt;="&amp;DATE(2026,3,1),
  'Advance Register'!$A:$A,
  "&lt;="&amp;EOMONTH(DATE(2026,3,1),0)
)
</f>
        <v>5000</v>
      </c>
      <c r="F10" s="50">
        <v>0.0</v>
      </c>
      <c r="G10" s="54">
        <f t="shared" si="1"/>
        <v>12074.82517</v>
      </c>
      <c r="H10" s="58" t="s">
        <v>24</v>
      </c>
      <c r="I10" s="55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 ht="22.5" customHeight="1">
      <c r="A11" s="56">
        <v>46113.0</v>
      </c>
      <c r="B11" s="57">
        <v>1.0</v>
      </c>
      <c r="C11" s="52" t="str">
        <f>VLOOKUP(B11,Employees!A:B,2,FALSE)</f>
        <v>Rajat Hela</v>
      </c>
      <c r="D11" s="53">
        <f>VLOOKUP(B11,'04-2026'!A:K,11,FALSE)</f>
        <v>15418.88112</v>
      </c>
      <c r="E11" s="54">
        <f>SUMIFS(
  'Advance Register'!$D:$D,
  'Advance Register'!$B:$B,
  B11,
  'Advance Register'!$A:$A,
  "&gt;="&amp;DATE(2026,3,1),
  'Advance Register'!$A:$A,
  "&lt;="&amp;EOMONTH(DATE(2026,3,1),0)
)
</f>
        <v>4000</v>
      </c>
      <c r="F11" s="50"/>
      <c r="G11" s="54">
        <f t="shared" si="1"/>
        <v>11418.88112</v>
      </c>
      <c r="H11" s="58"/>
      <c r="I11" s="55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>
      <c r="A15" s="41"/>
      <c r="B15" s="41"/>
      <c r="C15" s="41"/>
      <c r="D15" s="41"/>
      <c r="E15" s="41"/>
      <c r="F15" s="41"/>
      <c r="G15" s="41"/>
      <c r="H15" s="59"/>
      <c r="I15" s="59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</row>
  </sheetData>
  <mergeCells count="1">
    <mergeCell ref="A1:I1"/>
  </mergeCells>
  <dataValidations>
    <dataValidation type="custom" allowBlank="1" showDropDown="1" sqref="A4:A11 I4:I11">
      <formula1>OR(NOT(ISERROR(DATEVALUE(A4))), AND(ISNUMBER(A4), LEFT(CELL("format", A4))="D"))</formula1>
    </dataValidation>
    <dataValidation type="list" allowBlank="1" sqref="H4:H11">
      <formula1>"Pending,Paid - Cash,Paid - Bank,Paid - UPI,Paid - Check,Paid - Others"</formula1>
    </dataValidation>
    <dataValidation type="custom" allowBlank="1" showDropDown="1" sqref="E4:G11">
      <formula1>AND(ISNUMBER(E4),(NOT(OR(NOT(ISERROR(DATEVALUE(E4))), AND(ISNUMBER(E4), LEFT(CELL("format", E4))="D")))))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75"/>
    <col customWidth="1" min="3" max="3" width="18.0"/>
    <col customWidth="1" min="4" max="4" width="13.0"/>
    <col customWidth="1" min="5" max="5" width="12.88"/>
    <col customWidth="1" min="6" max="6" width="13.38"/>
    <col customWidth="1" min="7" max="7" width="15.25"/>
    <col customWidth="1" min="8" max="8" width="17.25"/>
    <col customWidth="1" min="9" max="9" width="17.63"/>
    <col customWidth="1" min="10" max="10" width="16.63"/>
    <col customWidth="1" min="11" max="11" width="19.75"/>
    <col customWidth="1" min="12" max="12" width="16.88"/>
    <col customWidth="1" min="13" max="13" width="14.13"/>
    <col customWidth="1" min="14" max="26" width="7.63"/>
  </cols>
  <sheetData>
    <row r="1" ht="15.0" customHeight="1">
      <c r="A1" s="60">
        <v>46023.0</v>
      </c>
      <c r="B1" s="2"/>
      <c r="C1" s="2"/>
      <c r="D1" s="2"/>
      <c r="E1" s="2"/>
      <c r="F1" s="2"/>
      <c r="G1" s="2"/>
      <c r="H1" s="2"/>
      <c r="I1" s="2"/>
      <c r="J1" s="2"/>
      <c r="K1" s="3"/>
      <c r="L1" s="61"/>
      <c r="M1" s="62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63"/>
      <c r="M2" s="64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3"/>
      <c r="B3" s="63"/>
      <c r="C3" s="63"/>
      <c r="D3" s="63"/>
      <c r="E3" s="63"/>
      <c r="F3" s="65"/>
      <c r="G3" s="66"/>
      <c r="H3" s="66"/>
      <c r="I3" s="66"/>
      <c r="J3" s="65"/>
      <c r="K3" s="66"/>
      <c r="L3" s="63"/>
      <c r="M3" s="64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3"/>
      <c r="B4" s="63"/>
      <c r="C4" s="63"/>
      <c r="D4" s="63"/>
      <c r="E4" s="63"/>
      <c r="F4" s="65"/>
      <c r="G4" s="66"/>
      <c r="H4" s="66"/>
      <c r="I4" s="66"/>
      <c r="J4" s="65"/>
      <c r="K4" s="66"/>
      <c r="L4" s="63"/>
      <c r="M4" s="64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22.5" customHeight="1">
      <c r="A5" s="11" t="s">
        <v>34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3" t="s">
        <v>7</v>
      </c>
      <c r="H5" s="13" t="s">
        <v>8</v>
      </c>
      <c r="I5" s="13" t="s">
        <v>35</v>
      </c>
      <c r="J5" s="13" t="s">
        <v>36</v>
      </c>
      <c r="K5" s="12" t="s">
        <v>37</v>
      </c>
      <c r="L5" s="63"/>
      <c r="M5" s="64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22.5" customHeight="1">
      <c r="A6" s="21">
        <v>1.0</v>
      </c>
      <c r="B6" s="34" t="str">
        <f>VLOOKUP(A6,Employees!A:B,2,FALSE)</f>
        <v>Rajat Hela</v>
      </c>
      <c r="C6" s="34">
        <f>VLOOKUP(A6,Employees!A:C,3,FALSE)</f>
        <v>9023270731</v>
      </c>
      <c r="D6" s="34" t="str">
        <f>VLOOKUP(A6,Employees!A:D,4,FALSE)</f>
        <v>Production</v>
      </c>
      <c r="E6" s="67" t="str">
        <f>VLOOKUP(A6,Employees!A:E,5,FALSE)</f>
        <v>CNC Machine Operator</v>
      </c>
      <c r="F6" s="68">
        <f>VLOOKUP(A6,Employees!A:F,6,FALSE)</f>
        <v>17000</v>
      </c>
      <c r="G6" s="69">
        <f>VLOOKUP(A6,Employees!A:G,7,FALSE)</f>
        <v>653.8461538</v>
      </c>
      <c r="H6" s="69">
        <f>VLOOKUP(A6,Employees!A:H,8,FALSE)</f>
        <v>59.44055944</v>
      </c>
      <c r="I6" s="70">
        <f>SUMIFS('01-2026'!$L$10:$L$308,
        '01-2026'!$B$10:$B$308,
        $A6)</f>
        <v>267.8</v>
      </c>
      <c r="J6" s="70">
        <f>SUMIFS('01-2026'!$M$10:$M$308,
        '01-2026'!$B$10:$B$308,
        $A6)</f>
        <v>6</v>
      </c>
      <c r="K6" s="71">
        <f>('01-2026'!$I6+'01-2026'!$J6)*'01-2026'!$H6</f>
        <v>16274.82517</v>
      </c>
      <c r="L6" s="63"/>
      <c r="M6" s="64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22.5" customHeight="1">
      <c r="A7" s="21">
        <v>2.0</v>
      </c>
      <c r="B7" s="34" t="str">
        <f>VLOOKUP(A7,Employees!A:B,2,FALSE)</f>
        <v>Umesh Kumar</v>
      </c>
      <c r="C7" s="34" t="str">
        <f>VLOOKUP(A7,Employees!A:C,3,FALSE)</f>
        <v/>
      </c>
      <c r="D7" s="34" t="str">
        <f>VLOOKUP(A7,Employees!A:D,4,FALSE)</f>
        <v>Production</v>
      </c>
      <c r="E7" s="67" t="str">
        <f>VLOOKUP(A7,Employees!A:E,5,FALSE)</f>
        <v>CNC Machine Operator</v>
      </c>
      <c r="F7" s="68">
        <f>VLOOKUP(A7,Employees!A:F,6,FALSE)</f>
        <v>18000</v>
      </c>
      <c r="G7" s="69">
        <f>VLOOKUP(A7,Employees!A:G,7,FALSE)</f>
        <v>692.3076923</v>
      </c>
      <c r="H7" s="69">
        <f>VLOOKUP(A7,Employees!A:H,8,FALSE)</f>
        <v>62.93706294</v>
      </c>
      <c r="I7" s="70">
        <f>SUMIFS('01-2026'!$L$10:$L$308,
        '01-2026'!$B$10:$B$308,
        $A7)</f>
        <v>217.3</v>
      </c>
      <c r="J7" s="70">
        <f>SUMIFS('01-2026'!$M$10:$M$308,
        '01-2026'!$B$10:$B$308,
        $A7)</f>
        <v>18</v>
      </c>
      <c r="K7" s="71">
        <f>('01-2026'!$I7+'01-2026'!$J7)*'01-2026'!$H7</f>
        <v>14809.09091</v>
      </c>
      <c r="L7" s="63"/>
      <c r="M7" s="64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63"/>
      <c r="B8" s="63"/>
      <c r="C8" s="63"/>
      <c r="D8" s="63"/>
      <c r="E8" s="63"/>
      <c r="F8" s="63"/>
      <c r="G8" s="63"/>
      <c r="H8" s="63"/>
      <c r="I8" s="66"/>
      <c r="J8" s="63"/>
      <c r="K8" s="63"/>
      <c r="L8" s="63"/>
      <c r="M8" s="64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22.5" customHeight="1">
      <c r="A9" s="72" t="s">
        <v>15</v>
      </c>
      <c r="B9" s="72" t="s">
        <v>1</v>
      </c>
      <c r="C9" s="72" t="s">
        <v>2</v>
      </c>
      <c r="D9" s="73" t="s">
        <v>38</v>
      </c>
      <c r="E9" s="73" t="s">
        <v>39</v>
      </c>
      <c r="F9" s="73" t="s">
        <v>40</v>
      </c>
      <c r="G9" s="73" t="s">
        <v>41</v>
      </c>
      <c r="H9" s="74" t="s">
        <v>42</v>
      </c>
      <c r="I9" s="74" t="s">
        <v>43</v>
      </c>
      <c r="J9" s="72" t="s">
        <v>44</v>
      </c>
      <c r="K9" s="74" t="s">
        <v>45</v>
      </c>
      <c r="L9" s="75" t="s">
        <v>46</v>
      </c>
      <c r="M9" s="75" t="s">
        <v>47</v>
      </c>
      <c r="N9" s="76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22.5" customHeight="1">
      <c r="A10" s="77"/>
      <c r="B10" s="78"/>
      <c r="C10" s="78"/>
      <c r="D10" s="79"/>
      <c r="E10" s="80"/>
      <c r="F10" s="80"/>
      <c r="G10" s="80"/>
      <c r="H10" s="81"/>
      <c r="I10" s="81"/>
      <c r="J10" s="82"/>
      <c r="K10" s="81"/>
      <c r="L10" s="83" t="str">
        <f t="shared" ref="L10:M10" si="1">IF(J10="","",
   IFERROR(
      HOUR(J10)+MINUTE(J10)/100,
      HOUR(TIMEVALUE(SUBSTITUTE(J10,CHAR(160),"")))
      +MINUTE(TIMEVALUE(SUBSTITUTE(J10,CHAR(160),"")))/100
   )
)
</f>
        <v/>
      </c>
      <c r="M10" s="83" t="str">
        <f t="shared" si="1"/>
        <v/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22.5" customHeight="1">
      <c r="A11" s="84">
        <v>46023.0</v>
      </c>
      <c r="B11" s="85">
        <v>1.0</v>
      </c>
      <c r="C11" s="86" t="str">
        <f>VLOOKUP(B11,Employees!A:B,2,FALSE)</f>
        <v>Rajat Hela</v>
      </c>
      <c r="D11" s="87">
        <v>0.3333333333333333</v>
      </c>
      <c r="E11" s="88">
        <v>0.5416666666666666</v>
      </c>
      <c r="F11" s="89">
        <v>0.5833333333333334</v>
      </c>
      <c r="G11" s="89">
        <v>0.6944444444444444</v>
      </c>
      <c r="H11" s="90">
        <f t="shared" ref="H11:H18" si="2">F11 - E11</f>
        <v>0.04166666667</v>
      </c>
      <c r="I11" s="90">
        <f t="shared" ref="I11:I18" si="3">G11 - D11</f>
        <v>0.3611111111</v>
      </c>
      <c r="J11" s="91">
        <f t="shared" ref="J11:J18" si="4">I11 - H11</f>
        <v>0.3194444444</v>
      </c>
      <c r="K11" s="90">
        <f t="shared" ref="K11:K18" si="5">MAX(
  0,
  MOD(
    IFERROR(
      J11,
      TIMEVALUE(SUBSTITUTE(J11,CHAR(160),""))
    ),
    1
  ) - TIME(11,0,0)
)
</f>
        <v>0</v>
      </c>
      <c r="L11" s="92">
        <f t="shared" ref="L11:L82" si="6">IF(J11="","",
   IFERROR(
      HOUR(MIN(MOD(J11,1), TIME(11,0,0))) +
      MINUTE(MIN(MOD(J11,1), TIME(11,0,0)))/100,
      HOUR(MIN(MOD(TIMEVALUE(SUBSTITUTE(J11,CHAR(160),"")),1), TIME(11,0,0))) +
      MINUTE(MIN(MOD(TIMEVALUE(SUBSTITUTE(J11,CHAR(160),"")),1), TIME(11,0,0)))/100
   )
)
</f>
        <v>7.4</v>
      </c>
      <c r="M11" s="92">
        <f t="shared" ref="M11:M25" si="7">IF(K11="","",
   IFERROR(
      HOUR(K11)+MINUTE(K11)/100,
      HOUR(TIMEVALUE(SUBSTITUTE(K11,CHAR(160),"")))
      +MINUTE(TIMEVALUE(SUBSTITUTE(K11,CHAR(160),"")))/100
   )
)
</f>
        <v>0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22.5" customHeight="1">
      <c r="A12" s="93">
        <v>46024.0</v>
      </c>
      <c r="B12" s="94">
        <v>1.0</v>
      </c>
      <c r="C12" s="78" t="str">
        <f>VLOOKUP(B12,Employees!A:B,2,FALSE)</f>
        <v>Rajat Hela</v>
      </c>
      <c r="D12" s="95">
        <v>0.3333333333333333</v>
      </c>
      <c r="E12" s="96">
        <v>0.5625</v>
      </c>
      <c r="F12" s="97">
        <v>0.6041666666666666</v>
      </c>
      <c r="G12" s="97">
        <v>0.8333333333333334</v>
      </c>
      <c r="H12" s="81">
        <f t="shared" si="2"/>
        <v>0.04166666667</v>
      </c>
      <c r="I12" s="81">
        <f t="shared" si="3"/>
        <v>0.5</v>
      </c>
      <c r="J12" s="82">
        <f t="shared" si="4"/>
        <v>0.4583333333</v>
      </c>
      <c r="K12" s="81">
        <f t="shared" si="5"/>
        <v>0</v>
      </c>
      <c r="L12" s="83">
        <f t="shared" si="6"/>
        <v>11</v>
      </c>
      <c r="M12" s="83">
        <f t="shared" si="7"/>
        <v>0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22.5" customHeight="1">
      <c r="A13" s="84">
        <v>46025.0</v>
      </c>
      <c r="B13" s="85">
        <v>1.0</v>
      </c>
      <c r="C13" s="86" t="str">
        <f>VLOOKUP(B13,Employees!A:B,2,FALSE)</f>
        <v>Rajat Hela</v>
      </c>
      <c r="D13" s="87">
        <v>0.3333333333333333</v>
      </c>
      <c r="E13" s="88">
        <v>0.5416666666666666</v>
      </c>
      <c r="F13" s="89">
        <v>0.5833333333333334</v>
      </c>
      <c r="G13" s="89">
        <v>0.8333333333333334</v>
      </c>
      <c r="H13" s="90">
        <f t="shared" si="2"/>
        <v>0.04166666667</v>
      </c>
      <c r="I13" s="90">
        <f t="shared" si="3"/>
        <v>0.5</v>
      </c>
      <c r="J13" s="91">
        <f t="shared" si="4"/>
        <v>0.4583333333</v>
      </c>
      <c r="K13" s="90">
        <f t="shared" si="5"/>
        <v>0</v>
      </c>
      <c r="L13" s="92">
        <f t="shared" si="6"/>
        <v>11</v>
      </c>
      <c r="M13" s="92">
        <f t="shared" si="7"/>
        <v>0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22.5" customHeight="1">
      <c r="A14" s="93">
        <v>46026.0</v>
      </c>
      <c r="B14" s="94">
        <v>1.0</v>
      </c>
      <c r="C14" s="78" t="str">
        <f>VLOOKUP(B14,Employees!A:B,2,FALSE)</f>
        <v>Rajat Hela</v>
      </c>
      <c r="D14" s="95">
        <v>0.3333333333333333</v>
      </c>
      <c r="E14" s="97">
        <v>0.5</v>
      </c>
      <c r="F14" s="96">
        <v>0.5416666666666666</v>
      </c>
      <c r="G14" s="97">
        <v>0.6875</v>
      </c>
      <c r="H14" s="81">
        <f t="shared" si="2"/>
        <v>0.04166666667</v>
      </c>
      <c r="I14" s="81">
        <f t="shared" si="3"/>
        <v>0.3541666667</v>
      </c>
      <c r="J14" s="82">
        <f t="shared" si="4"/>
        <v>0.3125</v>
      </c>
      <c r="K14" s="81">
        <f t="shared" si="5"/>
        <v>0</v>
      </c>
      <c r="L14" s="83">
        <f t="shared" si="6"/>
        <v>7.3</v>
      </c>
      <c r="M14" s="83">
        <f t="shared" si="7"/>
        <v>0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22.5" customHeight="1">
      <c r="A15" s="84"/>
      <c r="B15" s="85">
        <v>1.0</v>
      </c>
      <c r="C15" s="86" t="str">
        <f>VLOOKUP(B15,Employees!A:B,2,FALSE)</f>
        <v>Rajat Hela</v>
      </c>
      <c r="D15" s="87">
        <v>0.875</v>
      </c>
      <c r="E15" s="89"/>
      <c r="F15" s="88"/>
      <c r="G15" s="89">
        <v>1.0208333333333333</v>
      </c>
      <c r="H15" s="90">
        <f t="shared" si="2"/>
        <v>0</v>
      </c>
      <c r="I15" s="90">
        <f t="shared" si="3"/>
        <v>0.1458333333</v>
      </c>
      <c r="J15" s="91">
        <f t="shared" si="4"/>
        <v>0.1458333333</v>
      </c>
      <c r="K15" s="90">
        <f t="shared" si="5"/>
        <v>0</v>
      </c>
      <c r="L15" s="92">
        <f t="shared" si="6"/>
        <v>3.3</v>
      </c>
      <c r="M15" s="92">
        <f t="shared" si="7"/>
        <v>0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22.5" customHeight="1">
      <c r="A16" s="93">
        <v>46027.0</v>
      </c>
      <c r="B16" s="94">
        <v>1.0</v>
      </c>
      <c r="C16" s="78" t="str">
        <f>VLOOKUP(B16,Employees!A:B,2,FALSE)</f>
        <v>Rajat Hela</v>
      </c>
      <c r="D16" s="95">
        <v>0.3333333333333333</v>
      </c>
      <c r="E16" s="96">
        <v>0.5416666666666666</v>
      </c>
      <c r="F16" s="97">
        <v>0.5833333333333334</v>
      </c>
      <c r="G16" s="97">
        <v>0.7361111111111112</v>
      </c>
      <c r="H16" s="81">
        <f t="shared" si="2"/>
        <v>0.04166666667</v>
      </c>
      <c r="I16" s="81">
        <f t="shared" si="3"/>
        <v>0.4027777778</v>
      </c>
      <c r="J16" s="82">
        <f t="shared" si="4"/>
        <v>0.3611111111</v>
      </c>
      <c r="K16" s="81">
        <f t="shared" si="5"/>
        <v>0</v>
      </c>
      <c r="L16" s="83">
        <f t="shared" si="6"/>
        <v>8.4</v>
      </c>
      <c r="M16" s="83">
        <f t="shared" si="7"/>
        <v>0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22.5" customHeight="1">
      <c r="A17" s="84">
        <v>46028.0</v>
      </c>
      <c r="B17" s="85">
        <v>1.0</v>
      </c>
      <c r="C17" s="86" t="str">
        <f>VLOOKUP(B17,Employees!A:B,2,FALSE)</f>
        <v>Rajat Hela</v>
      </c>
      <c r="D17" s="87">
        <v>0.3333333333333333</v>
      </c>
      <c r="E17" s="88">
        <v>0.5416666666666666</v>
      </c>
      <c r="F17" s="89">
        <v>0.5833333333333334</v>
      </c>
      <c r="G17" s="89">
        <v>0.8333333333333334</v>
      </c>
      <c r="H17" s="90">
        <f t="shared" si="2"/>
        <v>0.04166666667</v>
      </c>
      <c r="I17" s="90">
        <f t="shared" si="3"/>
        <v>0.5</v>
      </c>
      <c r="J17" s="91">
        <f t="shared" si="4"/>
        <v>0.4583333333</v>
      </c>
      <c r="K17" s="90">
        <f t="shared" si="5"/>
        <v>0</v>
      </c>
      <c r="L17" s="92">
        <f t="shared" si="6"/>
        <v>11</v>
      </c>
      <c r="M17" s="92">
        <f t="shared" si="7"/>
        <v>0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22.5" customHeight="1">
      <c r="A18" s="93"/>
      <c r="B18" s="94">
        <v>1.0</v>
      </c>
      <c r="C18" s="78" t="str">
        <f>VLOOKUP(B18,Employees!A:B,2,FALSE)</f>
        <v>Rajat Hela</v>
      </c>
      <c r="D18" s="95">
        <v>0.875</v>
      </c>
      <c r="E18" s="96"/>
      <c r="F18" s="97"/>
      <c r="G18" s="97">
        <v>0.3333333333333333</v>
      </c>
      <c r="H18" s="81">
        <f t="shared" si="2"/>
        <v>0</v>
      </c>
      <c r="I18" s="81">
        <f t="shared" si="3"/>
        <v>-0.5416666667</v>
      </c>
      <c r="J18" s="82">
        <f t="shared" si="4"/>
        <v>-0.5416666667</v>
      </c>
      <c r="K18" s="81">
        <f t="shared" si="5"/>
        <v>0</v>
      </c>
      <c r="L18" s="83">
        <f t="shared" si="6"/>
        <v>11</v>
      </c>
      <c r="M18" s="83">
        <f t="shared" si="7"/>
        <v>0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22.5" customHeight="1">
      <c r="A19" s="84">
        <v>46029.0</v>
      </c>
      <c r="B19" s="85"/>
      <c r="C19" s="86"/>
      <c r="D19" s="87"/>
      <c r="E19" s="89"/>
      <c r="F19" s="89"/>
      <c r="G19" s="85" t="s">
        <v>48</v>
      </c>
      <c r="H19" s="90"/>
      <c r="I19" s="90"/>
      <c r="J19" s="91"/>
      <c r="K19" s="90"/>
      <c r="L19" s="92" t="str">
        <f t="shared" si="6"/>
        <v/>
      </c>
      <c r="M19" s="92" t="str">
        <f t="shared" si="7"/>
        <v/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22.5" customHeight="1">
      <c r="A20" s="93">
        <v>46030.0</v>
      </c>
      <c r="B20" s="94"/>
      <c r="C20" s="78"/>
      <c r="D20" s="95"/>
      <c r="E20" s="97"/>
      <c r="F20" s="97"/>
      <c r="G20" s="94" t="s">
        <v>49</v>
      </c>
      <c r="H20" s="81"/>
      <c r="I20" s="81"/>
      <c r="J20" s="82"/>
      <c r="K20" s="81"/>
      <c r="L20" s="83" t="str">
        <f t="shared" si="6"/>
        <v/>
      </c>
      <c r="M20" s="83" t="str">
        <f t="shared" si="7"/>
        <v/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22.5" customHeight="1">
      <c r="A21" s="84">
        <v>46031.0</v>
      </c>
      <c r="B21" s="85">
        <v>1.0</v>
      </c>
      <c r="C21" s="86" t="str">
        <f>VLOOKUP(B21,Employees!A:B,2,FALSE)</f>
        <v>Rajat Hela</v>
      </c>
      <c r="D21" s="87">
        <v>0.3333333333333333</v>
      </c>
      <c r="E21" s="88">
        <v>0.5416666666666666</v>
      </c>
      <c r="F21" s="89">
        <v>0.5833333333333334</v>
      </c>
      <c r="G21" s="89">
        <v>0.8333333333333334</v>
      </c>
      <c r="H21" s="90">
        <f t="shared" ref="H21:H30" si="8">F21 - E21</f>
        <v>0.04166666667</v>
      </c>
      <c r="I21" s="90">
        <f t="shared" ref="I21:I30" si="9">G21 - D21</f>
        <v>0.5</v>
      </c>
      <c r="J21" s="91">
        <f t="shared" ref="J21:J30" si="10">I21 - H21</f>
        <v>0.4583333333</v>
      </c>
      <c r="K21" s="90">
        <f t="shared" ref="K21:K30" si="11">MAX(
  0,
  MOD(
    IFERROR(
      J21,
      TIMEVALUE(SUBSTITUTE(J21,CHAR(160),""))
    ),
    1
  ) - TIME(11,0,0)
)
</f>
        <v>0</v>
      </c>
      <c r="L21" s="92">
        <f t="shared" si="6"/>
        <v>11</v>
      </c>
      <c r="M21" s="92">
        <f t="shared" si="7"/>
        <v>0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22.5" customHeight="1">
      <c r="A22" s="93"/>
      <c r="B22" s="94">
        <v>1.0</v>
      </c>
      <c r="C22" s="78" t="str">
        <f>VLOOKUP(B22,Employees!A:B,2,FALSE)</f>
        <v>Rajat Hela</v>
      </c>
      <c r="D22" s="95">
        <v>0.875</v>
      </c>
      <c r="E22" s="96"/>
      <c r="F22" s="97"/>
      <c r="G22" s="97">
        <v>0.041666666666666664</v>
      </c>
      <c r="H22" s="81">
        <f t="shared" si="8"/>
        <v>0</v>
      </c>
      <c r="I22" s="81">
        <f t="shared" si="9"/>
        <v>-0.8333333333</v>
      </c>
      <c r="J22" s="82">
        <f t="shared" si="10"/>
        <v>-0.8333333333</v>
      </c>
      <c r="K22" s="81">
        <f t="shared" si="11"/>
        <v>0</v>
      </c>
      <c r="L22" s="83">
        <f t="shared" si="6"/>
        <v>4</v>
      </c>
      <c r="M22" s="83">
        <f t="shared" si="7"/>
        <v>0</v>
      </c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22.5" customHeight="1">
      <c r="A23" s="84">
        <v>46032.0</v>
      </c>
      <c r="B23" s="85">
        <v>1.0</v>
      </c>
      <c r="C23" s="86" t="str">
        <f>VLOOKUP(B23,Employees!A:B,2,FALSE)</f>
        <v>Rajat Hela</v>
      </c>
      <c r="D23" s="87">
        <v>0.3333333333333333</v>
      </c>
      <c r="E23" s="88">
        <v>0.5416666666666666</v>
      </c>
      <c r="F23" s="89">
        <v>0.5833333333333334</v>
      </c>
      <c r="G23" s="89">
        <v>0.8333333333333334</v>
      </c>
      <c r="H23" s="90">
        <f t="shared" si="8"/>
        <v>0.04166666667</v>
      </c>
      <c r="I23" s="90">
        <f t="shared" si="9"/>
        <v>0.5</v>
      </c>
      <c r="J23" s="91">
        <f t="shared" si="10"/>
        <v>0.4583333333</v>
      </c>
      <c r="K23" s="90">
        <f t="shared" si="11"/>
        <v>0</v>
      </c>
      <c r="L23" s="92">
        <f t="shared" si="6"/>
        <v>11</v>
      </c>
      <c r="M23" s="92">
        <f t="shared" si="7"/>
        <v>0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22.5" customHeight="1">
      <c r="A24" s="93"/>
      <c r="B24" s="94">
        <v>1.0</v>
      </c>
      <c r="C24" s="78" t="str">
        <f>VLOOKUP(B24,Employees!A:B,2,FALSE)</f>
        <v>Rajat Hela</v>
      </c>
      <c r="D24" s="95">
        <v>0.875</v>
      </c>
      <c r="E24" s="96"/>
      <c r="F24" s="97"/>
      <c r="G24" s="97">
        <v>1.0</v>
      </c>
      <c r="H24" s="81">
        <f t="shared" si="8"/>
        <v>0</v>
      </c>
      <c r="I24" s="81">
        <f t="shared" si="9"/>
        <v>0.125</v>
      </c>
      <c r="J24" s="82">
        <f t="shared" si="10"/>
        <v>0.125</v>
      </c>
      <c r="K24" s="81">
        <f t="shared" si="11"/>
        <v>0</v>
      </c>
      <c r="L24" s="83">
        <f t="shared" si="6"/>
        <v>3</v>
      </c>
      <c r="M24" s="83">
        <f t="shared" si="7"/>
        <v>0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22.5" customHeight="1">
      <c r="A25" s="84">
        <v>46033.0</v>
      </c>
      <c r="B25" s="85">
        <v>1.0</v>
      </c>
      <c r="C25" s="86" t="str">
        <f>VLOOKUP(B25,Employees!A:B,2,FALSE)</f>
        <v>Rajat Hela</v>
      </c>
      <c r="D25" s="87">
        <v>0.3333333333333333</v>
      </c>
      <c r="E25" s="89">
        <v>0.5694444444444444</v>
      </c>
      <c r="F25" s="89">
        <v>0.6111111111111112</v>
      </c>
      <c r="G25" s="89">
        <v>0.6111111111111112</v>
      </c>
      <c r="H25" s="90">
        <f t="shared" si="8"/>
        <v>0.04166666667</v>
      </c>
      <c r="I25" s="90">
        <f t="shared" si="9"/>
        <v>0.2777777778</v>
      </c>
      <c r="J25" s="91">
        <f t="shared" si="10"/>
        <v>0.2361111111</v>
      </c>
      <c r="K25" s="90">
        <f t="shared" si="11"/>
        <v>0</v>
      </c>
      <c r="L25" s="92">
        <f t="shared" si="6"/>
        <v>5.4</v>
      </c>
      <c r="M25" s="92">
        <f t="shared" si="7"/>
        <v>0</v>
      </c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22.5" customHeight="1">
      <c r="A26" s="93"/>
      <c r="B26" s="94">
        <v>2.0</v>
      </c>
      <c r="C26" s="78" t="str">
        <f>VLOOKUP(B26,Employees!A:B,2,FALSE)</f>
        <v>Umesh Kumar</v>
      </c>
      <c r="D26" s="95">
        <v>0.8333333333333334</v>
      </c>
      <c r="E26" s="97"/>
      <c r="F26" s="97"/>
      <c r="G26" s="97">
        <v>0.3333333333333333</v>
      </c>
      <c r="H26" s="81">
        <f t="shared" si="8"/>
        <v>0</v>
      </c>
      <c r="I26" s="81">
        <f t="shared" si="9"/>
        <v>-0.5</v>
      </c>
      <c r="J26" s="82">
        <f t="shared" si="10"/>
        <v>-0.5</v>
      </c>
      <c r="K26" s="81">
        <f t="shared" si="11"/>
        <v>0.04166666667</v>
      </c>
      <c r="L26" s="83">
        <f t="shared" si="6"/>
        <v>11</v>
      </c>
      <c r="M26" s="98" t="s">
        <v>50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5.75" customHeight="1">
      <c r="A27" s="84">
        <v>46034.0</v>
      </c>
      <c r="B27" s="85">
        <v>1.0</v>
      </c>
      <c r="C27" s="86" t="str">
        <f>VLOOKUP(B27,Employees!A:B,2,FALSE)</f>
        <v>Rajat Hela</v>
      </c>
      <c r="D27" s="87">
        <v>0.3333333333333333</v>
      </c>
      <c r="E27" s="88">
        <v>0.5416666666666666</v>
      </c>
      <c r="F27" s="89">
        <v>0.5833333333333334</v>
      </c>
      <c r="G27" s="89">
        <v>0.8333333333333334</v>
      </c>
      <c r="H27" s="90">
        <f t="shared" si="8"/>
        <v>0.04166666667</v>
      </c>
      <c r="I27" s="90">
        <f t="shared" si="9"/>
        <v>0.5</v>
      </c>
      <c r="J27" s="91">
        <f t="shared" si="10"/>
        <v>0.4583333333</v>
      </c>
      <c r="K27" s="90">
        <f t="shared" si="11"/>
        <v>0</v>
      </c>
      <c r="L27" s="92">
        <f t="shared" si="6"/>
        <v>11</v>
      </c>
      <c r="M27" s="92">
        <f t="shared" ref="M27:M82" si="12">IF(K27="","",
   IFERROR(
      HOUR(K27)+MINUTE(K27)/100,
      HOUR(TIMEVALUE(SUBSTITUTE(K27,CHAR(160),"")))
      +MINUTE(TIMEVALUE(SUBSTITUTE(K27,CHAR(160),"")))/100
   )
)
</f>
        <v>0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5.75" customHeight="1">
      <c r="A28" s="93"/>
      <c r="B28" s="94">
        <v>2.0</v>
      </c>
      <c r="C28" s="78" t="str">
        <f>VLOOKUP(B28,Employees!A:B,2,FALSE)</f>
        <v>Umesh Kumar</v>
      </c>
      <c r="D28" s="95">
        <v>0.8333333333333334</v>
      </c>
      <c r="E28" s="96"/>
      <c r="F28" s="97"/>
      <c r="G28" s="97">
        <v>0.3333333333333333</v>
      </c>
      <c r="H28" s="81">
        <f t="shared" si="8"/>
        <v>0</v>
      </c>
      <c r="I28" s="81">
        <f t="shared" si="9"/>
        <v>-0.5</v>
      </c>
      <c r="J28" s="82">
        <f t="shared" si="10"/>
        <v>-0.5</v>
      </c>
      <c r="K28" s="81">
        <f t="shared" si="11"/>
        <v>0.04166666667</v>
      </c>
      <c r="L28" s="83">
        <f t="shared" si="6"/>
        <v>11</v>
      </c>
      <c r="M28" s="83">
        <f t="shared" si="12"/>
        <v>1</v>
      </c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5.75" customHeight="1">
      <c r="A29" s="84">
        <v>46035.0</v>
      </c>
      <c r="B29" s="85">
        <v>1.0</v>
      </c>
      <c r="C29" s="86" t="str">
        <f>VLOOKUP(B29,Employees!A:B,2,FALSE)</f>
        <v>Rajat Hela</v>
      </c>
      <c r="D29" s="87">
        <v>0.3333333333333333</v>
      </c>
      <c r="E29" s="89">
        <v>0.5208333333333334</v>
      </c>
      <c r="F29" s="89">
        <v>0.5625</v>
      </c>
      <c r="G29" s="89">
        <v>0.8333333333333334</v>
      </c>
      <c r="H29" s="90">
        <f t="shared" si="8"/>
        <v>0.04166666667</v>
      </c>
      <c r="I29" s="90">
        <f t="shared" si="9"/>
        <v>0.5</v>
      </c>
      <c r="J29" s="91">
        <f t="shared" si="10"/>
        <v>0.4583333333</v>
      </c>
      <c r="K29" s="90">
        <f t="shared" si="11"/>
        <v>0</v>
      </c>
      <c r="L29" s="92">
        <f t="shared" si="6"/>
        <v>11</v>
      </c>
      <c r="M29" s="92">
        <f t="shared" si="12"/>
        <v>0</v>
      </c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5.75" customHeight="1">
      <c r="A30" s="93"/>
      <c r="B30" s="94">
        <v>2.0</v>
      </c>
      <c r="C30" s="78" t="str">
        <f>VLOOKUP(B30,Employees!A:B,2,FALSE)</f>
        <v>Umesh Kumar</v>
      </c>
      <c r="D30" s="95">
        <v>0.8333333333333334</v>
      </c>
      <c r="E30" s="97"/>
      <c r="F30" s="97"/>
      <c r="G30" s="97">
        <v>0.3333333333333333</v>
      </c>
      <c r="H30" s="81">
        <f t="shared" si="8"/>
        <v>0</v>
      </c>
      <c r="I30" s="81">
        <f t="shared" si="9"/>
        <v>-0.5</v>
      </c>
      <c r="J30" s="82">
        <f t="shared" si="10"/>
        <v>-0.5</v>
      </c>
      <c r="K30" s="81">
        <f t="shared" si="11"/>
        <v>0.04166666667</v>
      </c>
      <c r="L30" s="83">
        <f t="shared" si="6"/>
        <v>11</v>
      </c>
      <c r="M30" s="83">
        <f t="shared" si="12"/>
        <v>1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5.75" customHeight="1">
      <c r="A31" s="84">
        <v>46036.0</v>
      </c>
      <c r="B31" s="85"/>
      <c r="C31" s="86"/>
      <c r="D31" s="87"/>
      <c r="E31" s="99"/>
      <c r="F31" s="89"/>
      <c r="G31" s="85" t="s">
        <v>48</v>
      </c>
      <c r="H31" s="90"/>
      <c r="I31" s="90"/>
      <c r="J31" s="91"/>
      <c r="K31" s="90"/>
      <c r="L31" s="92" t="str">
        <f t="shared" si="6"/>
        <v/>
      </c>
      <c r="M31" s="92" t="str">
        <f t="shared" si="12"/>
        <v/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5.75" customHeight="1">
      <c r="A32" s="93">
        <v>46037.0</v>
      </c>
      <c r="B32" s="94">
        <v>2.0</v>
      </c>
      <c r="C32" s="78" t="str">
        <f>VLOOKUP(B32,Employees!A:B,2,FALSE)</f>
        <v>Umesh Kumar</v>
      </c>
      <c r="D32" s="95">
        <v>0.3333333333333333</v>
      </c>
      <c r="E32" s="96">
        <v>0.5416666666666666</v>
      </c>
      <c r="F32" s="97">
        <v>0.5833333333333334</v>
      </c>
      <c r="G32" s="97">
        <v>0.9166666666666666</v>
      </c>
      <c r="H32" s="81">
        <f t="shared" ref="H32:H43" si="13">F32 - E32</f>
        <v>0.04166666667</v>
      </c>
      <c r="I32" s="81">
        <f t="shared" ref="I32:I43" si="14">G32 - D32</f>
        <v>0.5833333333</v>
      </c>
      <c r="J32" s="82">
        <f t="shared" ref="J32:J43" si="15">I32 - H32</f>
        <v>0.5416666667</v>
      </c>
      <c r="K32" s="81">
        <f t="shared" ref="K32:K43" si="16">MAX(
  0,
  MOD(
    IFERROR(
      J32,
      TIMEVALUE(SUBSTITUTE(J32,CHAR(160),""))
    ),
    1
  ) - TIME(11,0,0)
)
</f>
        <v>0.08333333333</v>
      </c>
      <c r="L32" s="83">
        <f t="shared" si="6"/>
        <v>11</v>
      </c>
      <c r="M32" s="83">
        <f t="shared" si="12"/>
        <v>2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5.75" hidden="1" customHeight="1">
      <c r="A33" s="84"/>
      <c r="B33" s="85"/>
      <c r="C33" s="86" t="str">
        <f>VLOOKUP(B33,Employees!A:B,2,FALSE)</f>
        <v>#N/A</v>
      </c>
      <c r="D33" s="87"/>
      <c r="E33" s="89"/>
      <c r="F33" s="89"/>
      <c r="G33" s="89"/>
      <c r="H33" s="90">
        <f t="shared" si="13"/>
        <v>0</v>
      </c>
      <c r="I33" s="90">
        <f t="shared" si="14"/>
        <v>0</v>
      </c>
      <c r="J33" s="91">
        <f t="shared" si="15"/>
        <v>0</v>
      </c>
      <c r="K33" s="90">
        <f t="shared" si="16"/>
        <v>0</v>
      </c>
      <c r="L33" s="92">
        <f t="shared" si="6"/>
        <v>0</v>
      </c>
      <c r="M33" s="92">
        <f t="shared" si="12"/>
        <v>0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A34" s="93">
        <v>46038.0</v>
      </c>
      <c r="B34" s="94">
        <v>2.0</v>
      </c>
      <c r="C34" s="78" t="str">
        <f>VLOOKUP(B34,Employees!A:B,2,FALSE)</f>
        <v>Umesh Kumar</v>
      </c>
      <c r="D34" s="95">
        <v>0.3333333333333333</v>
      </c>
      <c r="E34" s="97"/>
      <c r="F34" s="97"/>
      <c r="G34" s="97">
        <v>0.8333333333333334</v>
      </c>
      <c r="H34" s="81">
        <f t="shared" si="13"/>
        <v>0</v>
      </c>
      <c r="I34" s="81">
        <f t="shared" si="14"/>
        <v>0.5</v>
      </c>
      <c r="J34" s="82">
        <f t="shared" si="15"/>
        <v>0.5</v>
      </c>
      <c r="K34" s="81">
        <f t="shared" si="16"/>
        <v>0.04166666667</v>
      </c>
      <c r="L34" s="83">
        <f t="shared" si="6"/>
        <v>11</v>
      </c>
      <c r="M34" s="83">
        <f t="shared" si="12"/>
        <v>1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A35" s="84"/>
      <c r="B35" s="85">
        <v>2.0</v>
      </c>
      <c r="C35" s="86" t="str">
        <f>VLOOKUP(B35,Employees!A:B,2,FALSE)</f>
        <v>Umesh Kumar</v>
      </c>
      <c r="D35" s="87">
        <v>0.8333333333333334</v>
      </c>
      <c r="E35" s="89"/>
      <c r="F35" s="89"/>
      <c r="G35" s="89">
        <v>0.3333333333333333</v>
      </c>
      <c r="H35" s="90">
        <f t="shared" si="13"/>
        <v>0</v>
      </c>
      <c r="I35" s="90">
        <f t="shared" si="14"/>
        <v>-0.5</v>
      </c>
      <c r="J35" s="91">
        <f t="shared" si="15"/>
        <v>-0.5</v>
      </c>
      <c r="K35" s="90">
        <f t="shared" si="16"/>
        <v>0.04166666667</v>
      </c>
      <c r="L35" s="92">
        <f t="shared" si="6"/>
        <v>11</v>
      </c>
      <c r="M35" s="92">
        <f t="shared" si="12"/>
        <v>1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A36" s="93">
        <v>46039.0</v>
      </c>
      <c r="B36" s="94">
        <v>1.0</v>
      </c>
      <c r="C36" s="78" t="str">
        <f>VLOOKUP(B36,Employees!A:B,2,FALSE)</f>
        <v>Rajat Hela</v>
      </c>
      <c r="D36" s="95">
        <v>0.3333333333333333</v>
      </c>
      <c r="E36" s="96">
        <v>0.5416666666666666</v>
      </c>
      <c r="F36" s="97">
        <v>0.5833333333333334</v>
      </c>
      <c r="G36" s="97">
        <v>0.8333333333333334</v>
      </c>
      <c r="H36" s="81">
        <f t="shared" si="13"/>
        <v>0.04166666667</v>
      </c>
      <c r="I36" s="81">
        <f t="shared" si="14"/>
        <v>0.5</v>
      </c>
      <c r="J36" s="82">
        <f t="shared" si="15"/>
        <v>0.4583333333</v>
      </c>
      <c r="K36" s="81">
        <f t="shared" si="16"/>
        <v>0</v>
      </c>
      <c r="L36" s="83">
        <f t="shared" si="6"/>
        <v>11</v>
      </c>
      <c r="M36" s="83">
        <f t="shared" si="12"/>
        <v>0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A37" s="84"/>
      <c r="B37" s="85">
        <v>2.0</v>
      </c>
      <c r="C37" s="86" t="str">
        <f>VLOOKUP(B37,Employees!A:B,2,FALSE)</f>
        <v>Umesh Kumar</v>
      </c>
      <c r="D37" s="87">
        <v>0.8333333333333334</v>
      </c>
      <c r="E37" s="89"/>
      <c r="F37" s="89"/>
      <c r="G37" s="89">
        <v>0.3333333333333333</v>
      </c>
      <c r="H37" s="90">
        <f t="shared" si="13"/>
        <v>0</v>
      </c>
      <c r="I37" s="90">
        <f t="shared" si="14"/>
        <v>-0.5</v>
      </c>
      <c r="J37" s="91">
        <f t="shared" si="15"/>
        <v>-0.5</v>
      </c>
      <c r="K37" s="90">
        <f t="shared" si="16"/>
        <v>0.04166666667</v>
      </c>
      <c r="L37" s="92">
        <f t="shared" si="6"/>
        <v>11</v>
      </c>
      <c r="M37" s="92">
        <f t="shared" si="12"/>
        <v>1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93">
        <v>46040.0</v>
      </c>
      <c r="B38" s="94">
        <v>1.0</v>
      </c>
      <c r="C38" s="78" t="str">
        <f>VLOOKUP(B38,Employees!A:B,2,FALSE)</f>
        <v>Rajat Hela</v>
      </c>
      <c r="D38" s="95">
        <v>0.3333333333333333</v>
      </c>
      <c r="E38" s="96">
        <v>0.5416666666666666</v>
      </c>
      <c r="F38" s="97">
        <v>0.5833333333333334</v>
      </c>
      <c r="G38" s="97">
        <v>0.8333333333333334</v>
      </c>
      <c r="H38" s="81">
        <f t="shared" si="13"/>
        <v>0.04166666667</v>
      </c>
      <c r="I38" s="81">
        <f t="shared" si="14"/>
        <v>0.5</v>
      </c>
      <c r="J38" s="82">
        <f t="shared" si="15"/>
        <v>0.4583333333</v>
      </c>
      <c r="K38" s="81">
        <f t="shared" si="16"/>
        <v>0</v>
      </c>
      <c r="L38" s="83">
        <f t="shared" si="6"/>
        <v>11</v>
      </c>
      <c r="M38" s="83">
        <f t="shared" si="12"/>
        <v>0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84"/>
      <c r="B39" s="85">
        <v>2.0</v>
      </c>
      <c r="C39" s="86" t="str">
        <f>VLOOKUP(B39,Employees!A:B,2,FALSE)</f>
        <v>Umesh Kumar</v>
      </c>
      <c r="D39" s="87">
        <v>0.8333333333333334</v>
      </c>
      <c r="E39" s="89"/>
      <c r="F39" s="89"/>
      <c r="G39" s="89">
        <v>0.3333333333333333</v>
      </c>
      <c r="H39" s="90">
        <f t="shared" si="13"/>
        <v>0</v>
      </c>
      <c r="I39" s="90">
        <f t="shared" si="14"/>
        <v>-0.5</v>
      </c>
      <c r="J39" s="91">
        <f t="shared" si="15"/>
        <v>-0.5</v>
      </c>
      <c r="K39" s="90">
        <f t="shared" si="16"/>
        <v>0.04166666667</v>
      </c>
      <c r="L39" s="92">
        <f t="shared" si="6"/>
        <v>11</v>
      </c>
      <c r="M39" s="92">
        <f t="shared" si="12"/>
        <v>1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93">
        <v>46041.0</v>
      </c>
      <c r="B40" s="94">
        <v>1.0</v>
      </c>
      <c r="C40" s="78" t="str">
        <f>VLOOKUP(B40,Employees!A:B,2,FALSE)</f>
        <v>Rajat Hela</v>
      </c>
      <c r="D40" s="95">
        <v>0.3333333333333333</v>
      </c>
      <c r="E40" s="96">
        <v>0.5416666666666666</v>
      </c>
      <c r="F40" s="97">
        <v>0.5833333333333334</v>
      </c>
      <c r="G40" s="97">
        <v>0.8333333333333334</v>
      </c>
      <c r="H40" s="81">
        <f t="shared" si="13"/>
        <v>0.04166666667</v>
      </c>
      <c r="I40" s="81">
        <f t="shared" si="14"/>
        <v>0.5</v>
      </c>
      <c r="J40" s="82">
        <f t="shared" si="15"/>
        <v>0.4583333333</v>
      </c>
      <c r="K40" s="81">
        <f t="shared" si="16"/>
        <v>0</v>
      </c>
      <c r="L40" s="83">
        <f t="shared" si="6"/>
        <v>11</v>
      </c>
      <c r="M40" s="83">
        <f t="shared" si="12"/>
        <v>0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84"/>
      <c r="B41" s="85">
        <v>2.0</v>
      </c>
      <c r="C41" s="86" t="str">
        <f>VLOOKUP(B41,Employees!A:B,2,FALSE)</f>
        <v>Umesh Kumar</v>
      </c>
      <c r="D41" s="87">
        <v>0.8333333333333334</v>
      </c>
      <c r="E41" s="89"/>
      <c r="F41" s="89"/>
      <c r="G41" s="89">
        <v>0.3333333333333333</v>
      </c>
      <c r="H41" s="90">
        <f t="shared" si="13"/>
        <v>0</v>
      </c>
      <c r="I41" s="90">
        <f t="shared" si="14"/>
        <v>-0.5</v>
      </c>
      <c r="J41" s="91">
        <f t="shared" si="15"/>
        <v>-0.5</v>
      </c>
      <c r="K41" s="90">
        <f t="shared" si="16"/>
        <v>0.04166666667</v>
      </c>
      <c r="L41" s="92">
        <f t="shared" si="6"/>
        <v>11</v>
      </c>
      <c r="M41" s="92">
        <f t="shared" si="12"/>
        <v>1</v>
      </c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93">
        <v>46042.0</v>
      </c>
      <c r="B42" s="94">
        <v>1.0</v>
      </c>
      <c r="C42" s="78" t="str">
        <f>VLOOKUP(B42,Employees!A:B,2,FALSE)</f>
        <v>Rajat Hela</v>
      </c>
      <c r="D42" s="95">
        <v>0.3333333333333333</v>
      </c>
      <c r="E42" s="96">
        <v>0.5416666666666666</v>
      </c>
      <c r="F42" s="97">
        <v>0.5833333333333334</v>
      </c>
      <c r="G42" s="97">
        <v>0.8333333333333334</v>
      </c>
      <c r="H42" s="81">
        <f t="shared" si="13"/>
        <v>0.04166666667</v>
      </c>
      <c r="I42" s="81">
        <f t="shared" si="14"/>
        <v>0.5</v>
      </c>
      <c r="J42" s="82">
        <f t="shared" si="15"/>
        <v>0.4583333333</v>
      </c>
      <c r="K42" s="81">
        <f t="shared" si="16"/>
        <v>0</v>
      </c>
      <c r="L42" s="83">
        <f t="shared" si="6"/>
        <v>11</v>
      </c>
      <c r="M42" s="83">
        <f t="shared" si="12"/>
        <v>0</v>
      </c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84"/>
      <c r="B43" s="85">
        <v>2.0</v>
      </c>
      <c r="C43" s="86" t="str">
        <f>VLOOKUP(B43,Employees!A:B,2,FALSE)</f>
        <v>Umesh Kumar</v>
      </c>
      <c r="D43" s="89">
        <v>0.8333333333333334</v>
      </c>
      <c r="E43" s="89"/>
      <c r="F43" s="89"/>
      <c r="G43" s="89">
        <v>0.3333333333333333</v>
      </c>
      <c r="H43" s="90">
        <f t="shared" si="13"/>
        <v>0</v>
      </c>
      <c r="I43" s="90">
        <f t="shared" si="14"/>
        <v>-0.5</v>
      </c>
      <c r="J43" s="91">
        <f t="shared" si="15"/>
        <v>-0.5</v>
      </c>
      <c r="K43" s="90">
        <f t="shared" si="16"/>
        <v>0.04166666667</v>
      </c>
      <c r="L43" s="92">
        <f t="shared" si="6"/>
        <v>11</v>
      </c>
      <c r="M43" s="92">
        <f t="shared" si="12"/>
        <v>1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93">
        <v>46043.0</v>
      </c>
      <c r="B44" s="94"/>
      <c r="C44" s="78"/>
      <c r="D44" s="95"/>
      <c r="E44" s="100"/>
      <c r="F44" s="97"/>
      <c r="G44" s="94" t="s">
        <v>48</v>
      </c>
      <c r="H44" s="81"/>
      <c r="I44" s="81"/>
      <c r="J44" s="82"/>
      <c r="K44" s="81"/>
      <c r="L44" s="83" t="str">
        <f t="shared" si="6"/>
        <v/>
      </c>
      <c r="M44" s="83" t="str">
        <f t="shared" si="12"/>
        <v/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84"/>
      <c r="B45" s="85"/>
      <c r="C45" s="86"/>
      <c r="D45" s="87"/>
      <c r="E45" s="101"/>
      <c r="F45" s="89"/>
      <c r="G45" s="89"/>
      <c r="H45" s="90"/>
      <c r="I45" s="90"/>
      <c r="J45" s="91"/>
      <c r="K45" s="90"/>
      <c r="L45" s="92" t="str">
        <f t="shared" si="6"/>
        <v/>
      </c>
      <c r="M45" s="92" t="str">
        <f t="shared" si="12"/>
        <v/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93">
        <v>46044.0</v>
      </c>
      <c r="B46" s="94">
        <v>2.0</v>
      </c>
      <c r="C46" s="78" t="str">
        <f>VLOOKUP(B46,Employees!A:B,2,FALSE)</f>
        <v>Umesh Kumar</v>
      </c>
      <c r="D46" s="95">
        <v>0.3333333333333333</v>
      </c>
      <c r="E46" s="96">
        <v>0.5416666666666666</v>
      </c>
      <c r="F46" s="97">
        <v>0.5833333333333334</v>
      </c>
      <c r="G46" s="97">
        <v>0.8333333333333334</v>
      </c>
      <c r="H46" s="81">
        <f t="shared" ref="H46:H64" si="17">F46 - E46</f>
        <v>0.04166666667</v>
      </c>
      <c r="I46" s="81">
        <f t="shared" ref="I46:I64" si="18">G46 - D46</f>
        <v>0.5</v>
      </c>
      <c r="J46" s="82">
        <f t="shared" ref="J46:J64" si="19">I46 - H46</f>
        <v>0.4583333333</v>
      </c>
      <c r="K46" s="81">
        <f t="shared" ref="K46:K64" si="20">MAX(
  0,
  MOD(
    IFERROR(
      J46,
      TIMEVALUE(SUBSTITUTE(J46,CHAR(160),""))
    ),
    1
  ) - TIME(11,0,0)
)
</f>
        <v>0</v>
      </c>
      <c r="L46" s="83">
        <f t="shared" si="6"/>
        <v>11</v>
      </c>
      <c r="M46" s="83">
        <f t="shared" si="12"/>
        <v>0</v>
      </c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84"/>
      <c r="B47" s="85">
        <v>1.0</v>
      </c>
      <c r="C47" s="86" t="str">
        <f>VLOOKUP(B47,Employees!A:B,2,FALSE)</f>
        <v>Rajat Hela</v>
      </c>
      <c r="D47" s="87">
        <v>0.8333333333333334</v>
      </c>
      <c r="E47" s="99"/>
      <c r="F47" s="89"/>
      <c r="G47" s="89">
        <v>0.3333333333333333</v>
      </c>
      <c r="H47" s="90">
        <f t="shared" si="17"/>
        <v>0</v>
      </c>
      <c r="I47" s="90">
        <f t="shared" si="18"/>
        <v>-0.5</v>
      </c>
      <c r="J47" s="91">
        <f t="shared" si="19"/>
        <v>-0.5</v>
      </c>
      <c r="K47" s="90">
        <f t="shared" si="20"/>
        <v>0.04166666667</v>
      </c>
      <c r="L47" s="92">
        <f t="shared" si="6"/>
        <v>11</v>
      </c>
      <c r="M47" s="92">
        <f t="shared" si="12"/>
        <v>1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93">
        <v>46045.0</v>
      </c>
      <c r="B48" s="94">
        <v>2.0</v>
      </c>
      <c r="C48" s="78" t="str">
        <f>VLOOKUP(B48,Employees!A:B,2,FALSE)</f>
        <v>Umesh Kumar</v>
      </c>
      <c r="D48" s="95">
        <v>0.3333333333333333</v>
      </c>
      <c r="E48" s="96">
        <v>0.5416666666666666</v>
      </c>
      <c r="F48" s="97">
        <v>0.5833333333333334</v>
      </c>
      <c r="G48" s="97">
        <v>0.041666666666666664</v>
      </c>
      <c r="H48" s="81">
        <f t="shared" si="17"/>
        <v>0.04166666667</v>
      </c>
      <c r="I48" s="81">
        <f t="shared" si="18"/>
        <v>-0.2916666667</v>
      </c>
      <c r="J48" s="82">
        <f t="shared" si="19"/>
        <v>-0.3333333333</v>
      </c>
      <c r="K48" s="81">
        <f t="shared" si="20"/>
        <v>0.2083333333</v>
      </c>
      <c r="L48" s="83">
        <f t="shared" si="6"/>
        <v>11</v>
      </c>
      <c r="M48" s="83">
        <f t="shared" si="12"/>
        <v>5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84"/>
      <c r="B49" s="85">
        <v>1.0</v>
      </c>
      <c r="C49" s="86" t="str">
        <f>VLOOKUP(B49,Employees!A:B,2,FALSE)</f>
        <v>Rajat Hela</v>
      </c>
      <c r="D49" s="87">
        <v>0.8333333333333334</v>
      </c>
      <c r="E49" s="89"/>
      <c r="F49" s="89"/>
      <c r="G49" s="89">
        <v>0.3333333333333333</v>
      </c>
      <c r="H49" s="90">
        <f t="shared" si="17"/>
        <v>0</v>
      </c>
      <c r="I49" s="90">
        <f t="shared" si="18"/>
        <v>-0.5</v>
      </c>
      <c r="J49" s="91">
        <f t="shared" si="19"/>
        <v>-0.5</v>
      </c>
      <c r="K49" s="90">
        <f t="shared" si="20"/>
        <v>0.04166666667</v>
      </c>
      <c r="L49" s="92">
        <f t="shared" si="6"/>
        <v>11</v>
      </c>
      <c r="M49" s="92">
        <f t="shared" si="12"/>
        <v>1</v>
      </c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93">
        <v>46046.0</v>
      </c>
      <c r="B50" s="94">
        <v>2.0</v>
      </c>
      <c r="C50" s="78" t="str">
        <f>VLOOKUP(B50,Employees!A:B,2,FALSE)</f>
        <v>Umesh Kumar</v>
      </c>
      <c r="D50" s="95">
        <v>0.3333333333333333</v>
      </c>
      <c r="E50" s="96">
        <v>0.5416666666666666</v>
      </c>
      <c r="F50" s="97">
        <v>0.5833333333333334</v>
      </c>
      <c r="G50" s="97">
        <v>0.8333333333333334</v>
      </c>
      <c r="H50" s="81">
        <f t="shared" si="17"/>
        <v>0.04166666667</v>
      </c>
      <c r="I50" s="81">
        <f t="shared" si="18"/>
        <v>0.5</v>
      </c>
      <c r="J50" s="82">
        <f t="shared" si="19"/>
        <v>0.4583333333</v>
      </c>
      <c r="K50" s="81">
        <f t="shared" si="20"/>
        <v>0</v>
      </c>
      <c r="L50" s="83">
        <f t="shared" si="6"/>
        <v>11</v>
      </c>
      <c r="M50" s="83">
        <f t="shared" si="12"/>
        <v>0</v>
      </c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84"/>
      <c r="B51" s="85">
        <v>1.0</v>
      </c>
      <c r="C51" s="86" t="str">
        <f>VLOOKUP(B51,Employees!A:B,2,FALSE)</f>
        <v>Rajat Hela</v>
      </c>
      <c r="D51" s="87">
        <v>0.8333333333333334</v>
      </c>
      <c r="E51" s="89"/>
      <c r="F51" s="89"/>
      <c r="G51" s="89">
        <v>0.3333333333333333</v>
      </c>
      <c r="H51" s="90">
        <f t="shared" si="17"/>
        <v>0</v>
      </c>
      <c r="I51" s="90">
        <f t="shared" si="18"/>
        <v>-0.5</v>
      </c>
      <c r="J51" s="91">
        <f t="shared" si="19"/>
        <v>-0.5</v>
      </c>
      <c r="K51" s="90">
        <f t="shared" si="20"/>
        <v>0.04166666667</v>
      </c>
      <c r="L51" s="92">
        <f t="shared" si="6"/>
        <v>11</v>
      </c>
      <c r="M51" s="92">
        <f t="shared" si="12"/>
        <v>1</v>
      </c>
      <c r="N51" s="102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93">
        <v>46047.0</v>
      </c>
      <c r="B52" s="94">
        <v>2.0</v>
      </c>
      <c r="C52" s="78" t="str">
        <f>VLOOKUP(B52,Employees!A:B,2,FALSE)</f>
        <v>Umesh Kumar</v>
      </c>
      <c r="D52" s="95">
        <v>0.3333333333333333</v>
      </c>
      <c r="E52" s="96">
        <v>0.5416666666666666</v>
      </c>
      <c r="F52" s="97">
        <v>0.5833333333333334</v>
      </c>
      <c r="G52" s="97">
        <v>0.8333333333333334</v>
      </c>
      <c r="H52" s="81">
        <f t="shared" si="17"/>
        <v>0.04166666667</v>
      </c>
      <c r="I52" s="81">
        <f t="shared" si="18"/>
        <v>0.5</v>
      </c>
      <c r="J52" s="82">
        <f t="shared" si="19"/>
        <v>0.4583333333</v>
      </c>
      <c r="K52" s="81">
        <f t="shared" si="20"/>
        <v>0</v>
      </c>
      <c r="L52" s="83">
        <f t="shared" si="6"/>
        <v>11</v>
      </c>
      <c r="M52" s="83">
        <f t="shared" si="12"/>
        <v>0</v>
      </c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84"/>
      <c r="B53" s="85">
        <v>1.0</v>
      </c>
      <c r="C53" s="86" t="str">
        <f>VLOOKUP(B53,Employees!A:B,2,FALSE)</f>
        <v>Rajat Hela</v>
      </c>
      <c r="D53" s="87">
        <v>0.8333333333333334</v>
      </c>
      <c r="E53" s="89"/>
      <c r="F53" s="89"/>
      <c r="G53" s="89">
        <v>0.3333333333333333</v>
      </c>
      <c r="H53" s="90">
        <f t="shared" si="17"/>
        <v>0</v>
      </c>
      <c r="I53" s="90">
        <f t="shared" si="18"/>
        <v>-0.5</v>
      </c>
      <c r="J53" s="91">
        <f t="shared" si="19"/>
        <v>-0.5</v>
      </c>
      <c r="K53" s="90">
        <f t="shared" si="20"/>
        <v>0.04166666667</v>
      </c>
      <c r="L53" s="92">
        <f t="shared" si="6"/>
        <v>11</v>
      </c>
      <c r="M53" s="92">
        <f t="shared" si="12"/>
        <v>1</v>
      </c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93">
        <v>46048.0</v>
      </c>
      <c r="B54" s="94">
        <v>2.0</v>
      </c>
      <c r="C54" s="78" t="str">
        <f>VLOOKUP(B54,Employees!A:B,2,FALSE)</f>
        <v>Umesh Kumar</v>
      </c>
      <c r="D54" s="95">
        <v>0.3333333333333333</v>
      </c>
      <c r="E54" s="96">
        <v>0.5416666666666666</v>
      </c>
      <c r="F54" s="97">
        <v>0.5833333333333334</v>
      </c>
      <c r="G54" s="97">
        <v>0.8333333333333334</v>
      </c>
      <c r="H54" s="81">
        <f t="shared" si="17"/>
        <v>0.04166666667</v>
      </c>
      <c r="I54" s="81">
        <f t="shared" si="18"/>
        <v>0.5</v>
      </c>
      <c r="J54" s="82">
        <f t="shared" si="19"/>
        <v>0.4583333333</v>
      </c>
      <c r="K54" s="81">
        <f t="shared" si="20"/>
        <v>0</v>
      </c>
      <c r="L54" s="83">
        <f t="shared" si="6"/>
        <v>11</v>
      </c>
      <c r="M54" s="83">
        <f t="shared" si="12"/>
        <v>0</v>
      </c>
      <c r="N54" s="103" t="s">
        <v>51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84"/>
      <c r="B55" s="85">
        <v>1.0</v>
      </c>
      <c r="C55" s="86" t="str">
        <f>VLOOKUP(B55,Employees!A:B,2,FALSE)</f>
        <v>Rajat Hela</v>
      </c>
      <c r="D55" s="87">
        <v>0.8333333333333334</v>
      </c>
      <c r="E55" s="89"/>
      <c r="F55" s="89"/>
      <c r="G55" s="89">
        <v>0.3333333333333333</v>
      </c>
      <c r="H55" s="90">
        <f t="shared" si="17"/>
        <v>0</v>
      </c>
      <c r="I55" s="90">
        <f t="shared" si="18"/>
        <v>-0.5</v>
      </c>
      <c r="J55" s="91">
        <f t="shared" si="19"/>
        <v>-0.5</v>
      </c>
      <c r="K55" s="90">
        <f t="shared" si="20"/>
        <v>0.04166666667</v>
      </c>
      <c r="L55" s="92">
        <f t="shared" si="6"/>
        <v>11</v>
      </c>
      <c r="M55" s="92">
        <f t="shared" si="12"/>
        <v>1</v>
      </c>
      <c r="N55" s="10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93">
        <v>46049.0</v>
      </c>
      <c r="B56" s="94">
        <v>2.0</v>
      </c>
      <c r="C56" s="78" t="str">
        <f>VLOOKUP(B56,Employees!A:B,2,FALSE)</f>
        <v>Umesh Kumar</v>
      </c>
      <c r="D56" s="95">
        <v>0.3333333333333333</v>
      </c>
      <c r="E56" s="96">
        <v>0.5416666666666666</v>
      </c>
      <c r="F56" s="97">
        <v>0.5833333333333334</v>
      </c>
      <c r="G56" s="97">
        <v>0.8333333333333334</v>
      </c>
      <c r="H56" s="81">
        <f t="shared" si="17"/>
        <v>0.04166666667</v>
      </c>
      <c r="I56" s="81">
        <f t="shared" si="18"/>
        <v>0.5</v>
      </c>
      <c r="J56" s="82">
        <f t="shared" si="19"/>
        <v>0.4583333333</v>
      </c>
      <c r="K56" s="81">
        <f t="shared" si="20"/>
        <v>0</v>
      </c>
      <c r="L56" s="83">
        <f t="shared" si="6"/>
        <v>11</v>
      </c>
      <c r="M56" s="83">
        <f t="shared" si="12"/>
        <v>0</v>
      </c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84"/>
      <c r="B57" s="85">
        <v>1.0</v>
      </c>
      <c r="C57" s="86" t="str">
        <f>VLOOKUP(B57,Employees!A:B,2,FALSE)</f>
        <v>Rajat Hela</v>
      </c>
      <c r="D57" s="87">
        <v>0.8333333333333334</v>
      </c>
      <c r="E57" s="89"/>
      <c r="F57" s="89"/>
      <c r="G57" s="89">
        <v>0.3333333333333333</v>
      </c>
      <c r="H57" s="90">
        <f t="shared" si="17"/>
        <v>0</v>
      </c>
      <c r="I57" s="90">
        <f t="shared" si="18"/>
        <v>-0.5</v>
      </c>
      <c r="J57" s="91">
        <f t="shared" si="19"/>
        <v>-0.5</v>
      </c>
      <c r="K57" s="90">
        <f t="shared" si="20"/>
        <v>0.04166666667</v>
      </c>
      <c r="L57" s="92">
        <f t="shared" si="6"/>
        <v>11</v>
      </c>
      <c r="M57" s="92">
        <f t="shared" si="12"/>
        <v>1</v>
      </c>
      <c r="N57" s="104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93">
        <v>46050.0</v>
      </c>
      <c r="B58" s="94">
        <v>2.0</v>
      </c>
      <c r="C58" s="78" t="str">
        <f>VLOOKUP(B58,Employees!A:B,2,FALSE)</f>
        <v>Umesh Kumar</v>
      </c>
      <c r="D58" s="95">
        <v>0.3333333333333333</v>
      </c>
      <c r="E58" s="96">
        <v>0.5416666666666666</v>
      </c>
      <c r="F58" s="97">
        <v>0.5833333333333334</v>
      </c>
      <c r="G58" s="97">
        <v>0.7291666666666666</v>
      </c>
      <c r="H58" s="81">
        <f t="shared" si="17"/>
        <v>0.04166666667</v>
      </c>
      <c r="I58" s="81">
        <f t="shared" si="18"/>
        <v>0.3958333333</v>
      </c>
      <c r="J58" s="82">
        <f t="shared" si="19"/>
        <v>0.3541666667</v>
      </c>
      <c r="K58" s="81">
        <f t="shared" si="20"/>
        <v>0</v>
      </c>
      <c r="L58" s="83">
        <f t="shared" si="6"/>
        <v>8.3</v>
      </c>
      <c r="M58" s="83">
        <f t="shared" si="12"/>
        <v>0</v>
      </c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84">
        <v>46051.0</v>
      </c>
      <c r="B59" s="85">
        <v>1.0</v>
      </c>
      <c r="C59" s="86" t="str">
        <f>VLOOKUP(B59,Employees!A:B,2,FALSE)</f>
        <v>Rajat Hela</v>
      </c>
      <c r="D59" s="87">
        <v>0.3333333333333333</v>
      </c>
      <c r="E59" s="88">
        <v>0.5416666666666666</v>
      </c>
      <c r="F59" s="89">
        <v>0.5833333333333334</v>
      </c>
      <c r="G59" s="89">
        <v>0.75</v>
      </c>
      <c r="H59" s="90">
        <f t="shared" si="17"/>
        <v>0.04166666667</v>
      </c>
      <c r="I59" s="90">
        <f t="shared" si="18"/>
        <v>0.4166666667</v>
      </c>
      <c r="J59" s="91">
        <f t="shared" si="19"/>
        <v>0.375</v>
      </c>
      <c r="K59" s="90">
        <f t="shared" si="20"/>
        <v>0</v>
      </c>
      <c r="L59" s="92">
        <f t="shared" si="6"/>
        <v>9</v>
      </c>
      <c r="M59" s="92">
        <f t="shared" si="12"/>
        <v>0</v>
      </c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93"/>
      <c r="B60" s="94">
        <v>2.0</v>
      </c>
      <c r="C60" s="78" t="str">
        <f>VLOOKUP(B60,Employees!A:B,2,FALSE)</f>
        <v>Umesh Kumar</v>
      </c>
      <c r="D60" s="95">
        <v>0.8333333333333334</v>
      </c>
      <c r="E60" s="97"/>
      <c r="F60" s="97"/>
      <c r="G60" s="97">
        <v>0.3333333333333333</v>
      </c>
      <c r="H60" s="81">
        <f t="shared" si="17"/>
        <v>0</v>
      </c>
      <c r="I60" s="81">
        <f t="shared" si="18"/>
        <v>-0.5</v>
      </c>
      <c r="J60" s="82">
        <f t="shared" si="19"/>
        <v>-0.5</v>
      </c>
      <c r="K60" s="81">
        <f t="shared" si="20"/>
        <v>0.04166666667</v>
      </c>
      <c r="L60" s="83">
        <f t="shared" si="6"/>
        <v>11</v>
      </c>
      <c r="M60" s="83">
        <f t="shared" si="12"/>
        <v>1</v>
      </c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84">
        <v>46052.0</v>
      </c>
      <c r="B61" s="85">
        <v>1.0</v>
      </c>
      <c r="C61" s="86" t="str">
        <f>VLOOKUP(B61,Employees!A:B,2,FALSE)</f>
        <v>Rajat Hela</v>
      </c>
      <c r="D61" s="87">
        <v>0.3333333333333333</v>
      </c>
      <c r="E61" s="88">
        <v>0.5416666666666666</v>
      </c>
      <c r="F61" s="89">
        <v>0.5833333333333334</v>
      </c>
      <c r="G61" s="89">
        <v>0.8333333333333334</v>
      </c>
      <c r="H61" s="90">
        <f t="shared" si="17"/>
        <v>0.04166666667</v>
      </c>
      <c r="I61" s="90">
        <f t="shared" si="18"/>
        <v>0.5</v>
      </c>
      <c r="J61" s="91">
        <f t="shared" si="19"/>
        <v>0.4583333333</v>
      </c>
      <c r="K61" s="90">
        <f t="shared" si="20"/>
        <v>0</v>
      </c>
      <c r="L61" s="92">
        <f t="shared" si="6"/>
        <v>11</v>
      </c>
      <c r="M61" s="92">
        <f t="shared" si="12"/>
        <v>0</v>
      </c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93"/>
      <c r="B62" s="94">
        <v>2.0</v>
      </c>
      <c r="C62" s="78" t="str">
        <f>VLOOKUP(B62,Employees!A:B,2,FALSE)</f>
        <v>Umesh Kumar</v>
      </c>
      <c r="D62" s="95">
        <v>0.8333333333333334</v>
      </c>
      <c r="E62" s="105"/>
      <c r="F62" s="97"/>
      <c r="G62" s="97">
        <v>0.3333333333333333</v>
      </c>
      <c r="H62" s="81">
        <f t="shared" si="17"/>
        <v>0</v>
      </c>
      <c r="I62" s="81">
        <f t="shared" si="18"/>
        <v>-0.5</v>
      </c>
      <c r="J62" s="82">
        <f t="shared" si="19"/>
        <v>-0.5</v>
      </c>
      <c r="K62" s="81">
        <f t="shared" si="20"/>
        <v>0.04166666667</v>
      </c>
      <c r="L62" s="83">
        <f t="shared" si="6"/>
        <v>11</v>
      </c>
      <c r="M62" s="83">
        <f t="shared" si="12"/>
        <v>1</v>
      </c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84">
        <v>46053.0</v>
      </c>
      <c r="B63" s="85">
        <v>1.0</v>
      </c>
      <c r="C63" s="86" t="str">
        <f>VLOOKUP(B63,Employees!A:B,2,FALSE)</f>
        <v>Rajat Hela</v>
      </c>
      <c r="D63" s="87">
        <v>0.3333333333333333</v>
      </c>
      <c r="E63" s="88">
        <v>0.5416666666666666</v>
      </c>
      <c r="F63" s="89">
        <v>0.5833333333333334</v>
      </c>
      <c r="G63" s="89">
        <v>0.8333333333333334</v>
      </c>
      <c r="H63" s="90">
        <f t="shared" si="17"/>
        <v>0.04166666667</v>
      </c>
      <c r="I63" s="90">
        <f t="shared" si="18"/>
        <v>0.5</v>
      </c>
      <c r="J63" s="91">
        <f t="shared" si="19"/>
        <v>0.4583333333</v>
      </c>
      <c r="K63" s="90">
        <f t="shared" si="20"/>
        <v>0</v>
      </c>
      <c r="L63" s="92">
        <f t="shared" si="6"/>
        <v>11</v>
      </c>
      <c r="M63" s="92">
        <f t="shared" si="12"/>
        <v>0</v>
      </c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93"/>
      <c r="B64" s="94">
        <v>2.0</v>
      </c>
      <c r="C64" s="78" t="str">
        <f>VLOOKUP(B64,Employees!A:B,2,FALSE)</f>
        <v>Umesh Kumar</v>
      </c>
      <c r="D64" s="95">
        <v>0.8333333333333334</v>
      </c>
      <c r="E64" s="97"/>
      <c r="F64" s="97"/>
      <c r="G64" s="97">
        <v>0.3333333333333333</v>
      </c>
      <c r="H64" s="81">
        <f t="shared" si="17"/>
        <v>0</v>
      </c>
      <c r="I64" s="81">
        <f t="shared" si="18"/>
        <v>-0.5</v>
      </c>
      <c r="J64" s="82">
        <f t="shared" si="19"/>
        <v>-0.5</v>
      </c>
      <c r="K64" s="81">
        <f t="shared" si="20"/>
        <v>0.04166666667</v>
      </c>
      <c r="L64" s="83">
        <f t="shared" si="6"/>
        <v>11</v>
      </c>
      <c r="M64" s="83">
        <f t="shared" si="12"/>
        <v>1</v>
      </c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84"/>
      <c r="B65" s="85"/>
      <c r="C65" s="86"/>
      <c r="D65" s="87"/>
      <c r="E65" s="89"/>
      <c r="F65" s="89"/>
      <c r="G65" s="89"/>
      <c r="H65" s="90"/>
      <c r="I65" s="90"/>
      <c r="J65" s="91"/>
      <c r="K65" s="90"/>
      <c r="L65" s="92" t="str">
        <f t="shared" si="6"/>
        <v/>
      </c>
      <c r="M65" s="92" t="str">
        <f t="shared" si="12"/>
        <v/>
      </c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93"/>
      <c r="B66" s="94"/>
      <c r="C66" s="78"/>
      <c r="D66" s="95"/>
      <c r="E66" s="97"/>
      <c r="F66" s="97"/>
      <c r="G66" s="97"/>
      <c r="H66" s="81"/>
      <c r="I66" s="81"/>
      <c r="J66" s="82"/>
      <c r="K66" s="81"/>
      <c r="L66" s="83" t="str">
        <f t="shared" si="6"/>
        <v/>
      </c>
      <c r="M66" s="83" t="str">
        <f t="shared" si="12"/>
        <v/>
      </c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84"/>
      <c r="B67" s="85"/>
      <c r="C67" s="86"/>
      <c r="D67" s="87"/>
      <c r="E67" s="89"/>
      <c r="F67" s="89"/>
      <c r="G67" s="89"/>
      <c r="H67" s="90"/>
      <c r="I67" s="90"/>
      <c r="J67" s="91"/>
      <c r="K67" s="90"/>
      <c r="L67" s="92" t="str">
        <f t="shared" si="6"/>
        <v/>
      </c>
      <c r="M67" s="92" t="str">
        <f t="shared" si="12"/>
        <v/>
      </c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93"/>
      <c r="B68" s="94"/>
      <c r="C68" s="78"/>
      <c r="D68" s="95"/>
      <c r="E68" s="97"/>
      <c r="F68" s="97"/>
      <c r="G68" s="97"/>
      <c r="H68" s="81"/>
      <c r="I68" s="81"/>
      <c r="J68" s="82"/>
      <c r="K68" s="81"/>
      <c r="L68" s="83" t="str">
        <f t="shared" si="6"/>
        <v/>
      </c>
      <c r="M68" s="83" t="str">
        <f t="shared" si="12"/>
        <v/>
      </c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84"/>
      <c r="B69" s="85"/>
      <c r="C69" s="86"/>
      <c r="D69" s="87"/>
      <c r="E69" s="89"/>
      <c r="F69" s="89"/>
      <c r="G69" s="89"/>
      <c r="H69" s="90"/>
      <c r="I69" s="90"/>
      <c r="J69" s="91"/>
      <c r="K69" s="90"/>
      <c r="L69" s="92" t="str">
        <f t="shared" si="6"/>
        <v/>
      </c>
      <c r="M69" s="92" t="str">
        <f t="shared" si="12"/>
        <v/>
      </c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93"/>
      <c r="B70" s="94"/>
      <c r="C70" s="78"/>
      <c r="D70" s="95"/>
      <c r="E70" s="97"/>
      <c r="F70" s="97"/>
      <c r="G70" s="97"/>
      <c r="H70" s="81"/>
      <c r="I70" s="81"/>
      <c r="J70" s="82"/>
      <c r="K70" s="81"/>
      <c r="L70" s="83" t="str">
        <f t="shared" si="6"/>
        <v/>
      </c>
      <c r="M70" s="83" t="str">
        <f t="shared" si="12"/>
        <v/>
      </c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84"/>
      <c r="B71" s="85"/>
      <c r="C71" s="86"/>
      <c r="D71" s="87"/>
      <c r="E71" s="89"/>
      <c r="F71" s="89"/>
      <c r="G71" s="89"/>
      <c r="H71" s="90"/>
      <c r="I71" s="90"/>
      <c r="J71" s="91"/>
      <c r="K71" s="90"/>
      <c r="L71" s="92" t="str">
        <f t="shared" si="6"/>
        <v/>
      </c>
      <c r="M71" s="92" t="str">
        <f t="shared" si="12"/>
        <v/>
      </c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93"/>
      <c r="B72" s="94"/>
      <c r="C72" s="78"/>
      <c r="D72" s="95"/>
      <c r="E72" s="97"/>
      <c r="F72" s="97"/>
      <c r="G72" s="97"/>
      <c r="H72" s="81"/>
      <c r="I72" s="81"/>
      <c r="J72" s="82"/>
      <c r="K72" s="81"/>
      <c r="L72" s="83" t="str">
        <f t="shared" si="6"/>
        <v/>
      </c>
      <c r="M72" s="83" t="str">
        <f t="shared" si="12"/>
        <v/>
      </c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84"/>
      <c r="B73" s="85"/>
      <c r="C73" s="86"/>
      <c r="D73" s="87"/>
      <c r="E73" s="89"/>
      <c r="F73" s="89"/>
      <c r="G73" s="89"/>
      <c r="H73" s="90"/>
      <c r="I73" s="90"/>
      <c r="J73" s="91"/>
      <c r="K73" s="90"/>
      <c r="L73" s="92" t="str">
        <f t="shared" si="6"/>
        <v/>
      </c>
      <c r="M73" s="92" t="str">
        <f t="shared" si="12"/>
        <v/>
      </c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93"/>
      <c r="B74" s="94"/>
      <c r="C74" s="78"/>
      <c r="D74" s="95"/>
      <c r="E74" s="97"/>
      <c r="F74" s="97"/>
      <c r="G74" s="97"/>
      <c r="H74" s="81"/>
      <c r="I74" s="81"/>
      <c r="J74" s="82"/>
      <c r="K74" s="81"/>
      <c r="L74" s="83" t="str">
        <f t="shared" si="6"/>
        <v/>
      </c>
      <c r="M74" s="83" t="str">
        <f t="shared" si="12"/>
        <v/>
      </c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84"/>
      <c r="B75" s="85"/>
      <c r="C75" s="86"/>
      <c r="D75" s="87"/>
      <c r="E75" s="89"/>
      <c r="F75" s="89"/>
      <c r="G75" s="89"/>
      <c r="H75" s="90"/>
      <c r="I75" s="90"/>
      <c r="J75" s="91"/>
      <c r="K75" s="90"/>
      <c r="L75" s="92" t="str">
        <f t="shared" si="6"/>
        <v/>
      </c>
      <c r="M75" s="92" t="str">
        <f t="shared" si="12"/>
        <v/>
      </c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93"/>
      <c r="B76" s="94"/>
      <c r="C76" s="78"/>
      <c r="D76" s="95"/>
      <c r="E76" s="97"/>
      <c r="F76" s="97"/>
      <c r="G76" s="97"/>
      <c r="H76" s="81"/>
      <c r="I76" s="81"/>
      <c r="J76" s="82"/>
      <c r="K76" s="81"/>
      <c r="L76" s="83" t="str">
        <f t="shared" si="6"/>
        <v/>
      </c>
      <c r="M76" s="83" t="str">
        <f t="shared" si="12"/>
        <v/>
      </c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84"/>
      <c r="B77" s="85"/>
      <c r="C77" s="86"/>
      <c r="D77" s="87"/>
      <c r="E77" s="89"/>
      <c r="F77" s="89"/>
      <c r="G77" s="89"/>
      <c r="H77" s="90"/>
      <c r="I77" s="90"/>
      <c r="J77" s="91"/>
      <c r="K77" s="90"/>
      <c r="L77" s="92" t="str">
        <f t="shared" si="6"/>
        <v/>
      </c>
      <c r="M77" s="92" t="str">
        <f t="shared" si="12"/>
        <v/>
      </c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93"/>
      <c r="B78" s="94"/>
      <c r="C78" s="78"/>
      <c r="D78" s="95"/>
      <c r="E78" s="97"/>
      <c r="F78" s="97"/>
      <c r="G78" s="97"/>
      <c r="H78" s="81"/>
      <c r="I78" s="81"/>
      <c r="J78" s="82"/>
      <c r="K78" s="81"/>
      <c r="L78" s="83" t="str">
        <f t="shared" si="6"/>
        <v/>
      </c>
      <c r="M78" s="83" t="str">
        <f t="shared" si="12"/>
        <v/>
      </c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84"/>
      <c r="B79" s="85"/>
      <c r="C79" s="86"/>
      <c r="D79" s="87"/>
      <c r="E79" s="89"/>
      <c r="F79" s="89"/>
      <c r="G79" s="89"/>
      <c r="H79" s="90"/>
      <c r="I79" s="90"/>
      <c r="J79" s="91"/>
      <c r="K79" s="90"/>
      <c r="L79" s="92" t="str">
        <f t="shared" si="6"/>
        <v/>
      </c>
      <c r="M79" s="92" t="str">
        <f t="shared" si="12"/>
        <v/>
      </c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93"/>
      <c r="B80" s="94"/>
      <c r="C80" s="78"/>
      <c r="D80" s="95"/>
      <c r="E80" s="97"/>
      <c r="F80" s="97"/>
      <c r="G80" s="97"/>
      <c r="H80" s="81"/>
      <c r="I80" s="81"/>
      <c r="J80" s="82"/>
      <c r="K80" s="81"/>
      <c r="L80" s="83" t="str">
        <f t="shared" si="6"/>
        <v/>
      </c>
      <c r="M80" s="83" t="str">
        <f t="shared" si="12"/>
        <v/>
      </c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84"/>
      <c r="B81" s="85"/>
      <c r="C81" s="86"/>
      <c r="D81" s="87"/>
      <c r="E81" s="89"/>
      <c r="F81" s="89"/>
      <c r="G81" s="89"/>
      <c r="H81" s="90"/>
      <c r="I81" s="90"/>
      <c r="J81" s="91"/>
      <c r="K81" s="90"/>
      <c r="L81" s="92" t="str">
        <f t="shared" si="6"/>
        <v/>
      </c>
      <c r="M81" s="92" t="str">
        <f t="shared" si="12"/>
        <v/>
      </c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93"/>
      <c r="B82" s="94"/>
      <c r="C82" s="78"/>
      <c r="D82" s="95"/>
      <c r="E82" s="97"/>
      <c r="F82" s="97"/>
      <c r="G82" s="97"/>
      <c r="H82" s="81"/>
      <c r="I82" s="81"/>
      <c r="J82" s="82"/>
      <c r="K82" s="81"/>
      <c r="L82" s="83" t="str">
        <f t="shared" si="6"/>
        <v/>
      </c>
      <c r="M82" s="83" t="str">
        <f t="shared" si="12"/>
        <v/>
      </c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6"/>
      <c r="J83" s="63"/>
      <c r="K83" s="63"/>
      <c r="L83" s="63"/>
      <c r="M83" s="64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6"/>
      <c r="J84" s="63"/>
      <c r="K84" s="63"/>
      <c r="L84" s="63"/>
      <c r="M84" s="64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6"/>
      <c r="J85" s="63"/>
      <c r="K85" s="63"/>
      <c r="L85" s="63"/>
      <c r="M85" s="64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6"/>
      <c r="J86" s="63"/>
      <c r="K86" s="63"/>
      <c r="L86" s="63"/>
      <c r="M86" s="64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6"/>
      <c r="J87" s="63"/>
      <c r="K87" s="63"/>
      <c r="L87" s="63"/>
      <c r="M87" s="64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6"/>
      <c r="J88" s="63"/>
      <c r="K88" s="63"/>
      <c r="L88" s="63"/>
      <c r="M88" s="64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6"/>
      <c r="J89" s="63"/>
      <c r="K89" s="63"/>
      <c r="L89" s="63"/>
      <c r="M89" s="64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6"/>
      <c r="J90" s="63"/>
      <c r="K90" s="63"/>
      <c r="L90" s="63"/>
      <c r="M90" s="64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6"/>
      <c r="J91" s="63"/>
      <c r="K91" s="63"/>
      <c r="L91" s="63"/>
      <c r="M91" s="64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6"/>
      <c r="J92" s="63"/>
      <c r="K92" s="63"/>
      <c r="L92" s="63"/>
      <c r="M92" s="64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6"/>
      <c r="J93" s="63"/>
      <c r="K93" s="63"/>
      <c r="L93" s="63"/>
      <c r="M93" s="64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6"/>
      <c r="J94" s="63"/>
      <c r="K94" s="63"/>
      <c r="L94" s="63"/>
      <c r="M94" s="64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6"/>
      <c r="J95" s="63"/>
      <c r="K95" s="63"/>
      <c r="L95" s="63"/>
      <c r="M95" s="64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6"/>
      <c r="J96" s="63"/>
      <c r="K96" s="63"/>
      <c r="L96" s="63"/>
      <c r="M96" s="64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6"/>
      <c r="J97" s="63"/>
      <c r="K97" s="63"/>
      <c r="L97" s="63"/>
      <c r="M97" s="64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6"/>
      <c r="J98" s="63"/>
      <c r="K98" s="63"/>
      <c r="L98" s="63"/>
      <c r="M98" s="64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6"/>
      <c r="J99" s="63"/>
      <c r="K99" s="63"/>
      <c r="L99" s="63"/>
      <c r="M99" s="64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6"/>
      <c r="J100" s="63"/>
      <c r="K100" s="63"/>
      <c r="L100" s="63"/>
      <c r="M100" s="64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6"/>
      <c r="J101" s="63"/>
      <c r="K101" s="63"/>
      <c r="L101" s="63"/>
      <c r="M101" s="64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6"/>
      <c r="J102" s="63"/>
      <c r="K102" s="63"/>
      <c r="L102" s="63"/>
      <c r="M102" s="64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6"/>
      <c r="J103" s="63"/>
      <c r="K103" s="63"/>
      <c r="L103" s="63"/>
      <c r="M103" s="64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6"/>
      <c r="J104" s="63"/>
      <c r="K104" s="63"/>
      <c r="L104" s="63"/>
      <c r="M104" s="64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6"/>
      <c r="J105" s="63"/>
      <c r="K105" s="63"/>
      <c r="L105" s="63"/>
      <c r="M105" s="64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6"/>
      <c r="J106" s="63"/>
      <c r="K106" s="63"/>
      <c r="L106" s="63"/>
      <c r="M106" s="64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6"/>
      <c r="J107" s="63"/>
      <c r="K107" s="63"/>
      <c r="L107" s="63"/>
      <c r="M107" s="64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6"/>
      <c r="J108" s="63"/>
      <c r="K108" s="63"/>
      <c r="L108" s="63"/>
      <c r="M108" s="64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6"/>
      <c r="J109" s="63"/>
      <c r="K109" s="63"/>
      <c r="L109" s="63"/>
      <c r="M109" s="64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6"/>
      <c r="J110" s="63"/>
      <c r="K110" s="63"/>
      <c r="L110" s="63"/>
      <c r="M110" s="64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6"/>
      <c r="J111" s="63"/>
      <c r="K111" s="63"/>
      <c r="L111" s="63"/>
      <c r="M111" s="64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6"/>
      <c r="J112" s="63"/>
      <c r="K112" s="63"/>
      <c r="L112" s="63"/>
      <c r="M112" s="64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6"/>
      <c r="J113" s="63"/>
      <c r="K113" s="63"/>
      <c r="L113" s="63"/>
      <c r="M113" s="64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6"/>
      <c r="J114" s="63"/>
      <c r="K114" s="63"/>
      <c r="L114" s="63"/>
      <c r="M114" s="64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6"/>
      <c r="J115" s="63"/>
      <c r="K115" s="63"/>
      <c r="L115" s="63"/>
      <c r="M115" s="64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6"/>
      <c r="J116" s="63"/>
      <c r="K116" s="63"/>
      <c r="L116" s="63"/>
      <c r="M116" s="64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6"/>
      <c r="J117" s="63"/>
      <c r="K117" s="63"/>
      <c r="L117" s="63"/>
      <c r="M117" s="64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6"/>
      <c r="J118" s="63"/>
      <c r="K118" s="63"/>
      <c r="L118" s="63"/>
      <c r="M118" s="64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6"/>
      <c r="J119" s="63"/>
      <c r="K119" s="63"/>
      <c r="L119" s="63"/>
      <c r="M119" s="64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6"/>
      <c r="J120" s="63"/>
      <c r="K120" s="63"/>
      <c r="L120" s="63"/>
      <c r="M120" s="64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6"/>
      <c r="J121" s="63"/>
      <c r="K121" s="63"/>
      <c r="L121" s="63"/>
      <c r="M121" s="64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6"/>
      <c r="J122" s="63"/>
      <c r="K122" s="63"/>
      <c r="L122" s="63"/>
      <c r="M122" s="64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6"/>
      <c r="J123" s="63"/>
      <c r="K123" s="63"/>
      <c r="L123" s="63"/>
      <c r="M123" s="64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6"/>
      <c r="J124" s="63"/>
      <c r="K124" s="63"/>
      <c r="L124" s="63"/>
      <c r="M124" s="64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6"/>
      <c r="J125" s="63"/>
      <c r="K125" s="63"/>
      <c r="L125" s="63"/>
      <c r="M125" s="64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6"/>
      <c r="J126" s="63"/>
      <c r="K126" s="63"/>
      <c r="L126" s="63"/>
      <c r="M126" s="64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6"/>
      <c r="J127" s="63"/>
      <c r="K127" s="63"/>
      <c r="L127" s="63"/>
      <c r="M127" s="64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6"/>
      <c r="J128" s="63"/>
      <c r="K128" s="63"/>
      <c r="L128" s="63"/>
      <c r="M128" s="64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6"/>
      <c r="J129" s="63"/>
      <c r="K129" s="63"/>
      <c r="L129" s="63"/>
      <c r="M129" s="64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6"/>
      <c r="J130" s="63"/>
      <c r="K130" s="63"/>
      <c r="L130" s="63"/>
      <c r="M130" s="64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6"/>
      <c r="J131" s="63"/>
      <c r="K131" s="63"/>
      <c r="L131" s="63"/>
      <c r="M131" s="64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6"/>
      <c r="J132" s="63"/>
      <c r="K132" s="63"/>
      <c r="L132" s="63"/>
      <c r="M132" s="64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6"/>
      <c r="J133" s="63"/>
      <c r="K133" s="63"/>
      <c r="L133" s="63"/>
      <c r="M133" s="64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6"/>
      <c r="J134" s="63"/>
      <c r="K134" s="63"/>
      <c r="L134" s="63"/>
      <c r="M134" s="64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6"/>
      <c r="J135" s="63"/>
      <c r="K135" s="63"/>
      <c r="L135" s="63"/>
      <c r="M135" s="64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6"/>
      <c r="J136" s="63"/>
      <c r="K136" s="63"/>
      <c r="L136" s="63"/>
      <c r="M136" s="64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6"/>
      <c r="J137" s="63"/>
      <c r="K137" s="63"/>
      <c r="L137" s="63"/>
      <c r="M137" s="64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6"/>
      <c r="J138" s="63"/>
      <c r="K138" s="63"/>
      <c r="L138" s="63"/>
      <c r="M138" s="64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6"/>
      <c r="J139" s="63"/>
      <c r="K139" s="63"/>
      <c r="L139" s="63"/>
      <c r="M139" s="64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6"/>
      <c r="J140" s="63"/>
      <c r="K140" s="63"/>
      <c r="L140" s="63"/>
      <c r="M140" s="64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6"/>
      <c r="J141" s="63"/>
      <c r="K141" s="63"/>
      <c r="L141" s="63"/>
      <c r="M141" s="64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6"/>
      <c r="J142" s="63"/>
      <c r="K142" s="63"/>
      <c r="L142" s="63"/>
      <c r="M142" s="64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6"/>
      <c r="J143" s="63"/>
      <c r="K143" s="63"/>
      <c r="L143" s="63"/>
      <c r="M143" s="64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6"/>
      <c r="J144" s="63"/>
      <c r="K144" s="63"/>
      <c r="L144" s="63"/>
      <c r="M144" s="64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6"/>
      <c r="J145" s="63"/>
      <c r="K145" s="63"/>
      <c r="L145" s="63"/>
      <c r="M145" s="64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6"/>
      <c r="J146" s="63"/>
      <c r="K146" s="63"/>
      <c r="L146" s="63"/>
      <c r="M146" s="64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6"/>
      <c r="J147" s="63"/>
      <c r="K147" s="63"/>
      <c r="L147" s="63"/>
      <c r="M147" s="64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6"/>
      <c r="J148" s="63"/>
      <c r="K148" s="63"/>
      <c r="L148" s="63"/>
      <c r="M148" s="64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6"/>
      <c r="J149" s="63"/>
      <c r="K149" s="63"/>
      <c r="L149" s="63"/>
      <c r="M149" s="64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6"/>
      <c r="J150" s="63"/>
      <c r="K150" s="63"/>
      <c r="L150" s="63"/>
      <c r="M150" s="64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6"/>
      <c r="J151" s="63"/>
      <c r="K151" s="63"/>
      <c r="L151" s="63"/>
      <c r="M151" s="64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6"/>
      <c r="J152" s="63"/>
      <c r="K152" s="63"/>
      <c r="L152" s="63"/>
      <c r="M152" s="64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6"/>
      <c r="J153" s="63"/>
      <c r="K153" s="63"/>
      <c r="L153" s="63"/>
      <c r="M153" s="64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6"/>
      <c r="J154" s="63"/>
      <c r="K154" s="63"/>
      <c r="L154" s="63"/>
      <c r="M154" s="64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6"/>
      <c r="J155" s="63"/>
      <c r="K155" s="63"/>
      <c r="L155" s="63"/>
      <c r="M155" s="64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6"/>
      <c r="J156" s="63"/>
      <c r="K156" s="63"/>
      <c r="L156" s="63"/>
      <c r="M156" s="64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6"/>
      <c r="J157" s="63"/>
      <c r="K157" s="63"/>
      <c r="L157" s="63"/>
      <c r="M157" s="64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6"/>
      <c r="J158" s="63"/>
      <c r="K158" s="63"/>
      <c r="L158" s="63"/>
      <c r="M158" s="64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6"/>
      <c r="J159" s="63"/>
      <c r="K159" s="63"/>
      <c r="L159" s="63"/>
      <c r="M159" s="64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6"/>
      <c r="J160" s="63"/>
      <c r="K160" s="63"/>
      <c r="L160" s="63"/>
      <c r="M160" s="64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6"/>
      <c r="J161" s="63"/>
      <c r="K161" s="63"/>
      <c r="L161" s="63"/>
      <c r="M161" s="64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6"/>
      <c r="J162" s="63"/>
      <c r="K162" s="63"/>
      <c r="L162" s="63"/>
      <c r="M162" s="64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6"/>
      <c r="J163" s="63"/>
      <c r="K163" s="63"/>
      <c r="L163" s="63"/>
      <c r="M163" s="64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6"/>
      <c r="J164" s="63"/>
      <c r="K164" s="63"/>
      <c r="L164" s="63"/>
      <c r="M164" s="64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6"/>
      <c r="J165" s="63"/>
      <c r="K165" s="63"/>
      <c r="L165" s="63"/>
      <c r="M165" s="64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6"/>
      <c r="J166" s="63"/>
      <c r="K166" s="63"/>
      <c r="L166" s="63"/>
      <c r="M166" s="64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6"/>
      <c r="J167" s="63"/>
      <c r="K167" s="63"/>
      <c r="L167" s="63"/>
      <c r="M167" s="64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6"/>
      <c r="J168" s="63"/>
      <c r="K168" s="63"/>
      <c r="L168" s="63"/>
      <c r="M168" s="64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6"/>
      <c r="J169" s="63"/>
      <c r="K169" s="63"/>
      <c r="L169" s="63"/>
      <c r="M169" s="64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6"/>
      <c r="J170" s="63"/>
      <c r="K170" s="63"/>
      <c r="L170" s="63"/>
      <c r="M170" s="64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6"/>
      <c r="J171" s="63"/>
      <c r="K171" s="63"/>
      <c r="L171" s="63"/>
      <c r="M171" s="64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6"/>
      <c r="J172" s="63"/>
      <c r="K172" s="63"/>
      <c r="L172" s="63"/>
      <c r="M172" s="64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6"/>
      <c r="J173" s="63"/>
      <c r="K173" s="63"/>
      <c r="L173" s="63"/>
      <c r="M173" s="64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6"/>
      <c r="J174" s="63"/>
      <c r="K174" s="63"/>
      <c r="L174" s="63"/>
      <c r="M174" s="64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6"/>
      <c r="J175" s="63"/>
      <c r="K175" s="63"/>
      <c r="L175" s="63"/>
      <c r="M175" s="64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6"/>
      <c r="J176" s="63"/>
      <c r="K176" s="63"/>
      <c r="L176" s="63"/>
      <c r="M176" s="64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6"/>
      <c r="J177" s="63"/>
      <c r="K177" s="63"/>
      <c r="L177" s="63"/>
      <c r="M177" s="64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6"/>
      <c r="J178" s="63"/>
      <c r="K178" s="63"/>
      <c r="L178" s="63"/>
      <c r="M178" s="64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6"/>
      <c r="J179" s="63"/>
      <c r="K179" s="63"/>
      <c r="L179" s="63"/>
      <c r="M179" s="64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6"/>
      <c r="J180" s="63"/>
      <c r="K180" s="63"/>
      <c r="L180" s="63"/>
      <c r="M180" s="64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6"/>
      <c r="J181" s="63"/>
      <c r="K181" s="63"/>
      <c r="L181" s="63"/>
      <c r="M181" s="64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6"/>
      <c r="J182" s="63"/>
      <c r="K182" s="63"/>
      <c r="L182" s="63"/>
      <c r="M182" s="64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6"/>
      <c r="J183" s="63"/>
      <c r="K183" s="63"/>
      <c r="L183" s="63"/>
      <c r="M183" s="64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6"/>
      <c r="J184" s="63"/>
      <c r="K184" s="63"/>
      <c r="L184" s="63"/>
      <c r="M184" s="64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6"/>
      <c r="J185" s="63"/>
      <c r="K185" s="63"/>
      <c r="L185" s="63"/>
      <c r="M185" s="64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6"/>
      <c r="J186" s="63"/>
      <c r="K186" s="63"/>
      <c r="L186" s="63"/>
      <c r="M186" s="64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6"/>
      <c r="J187" s="63"/>
      <c r="K187" s="63"/>
      <c r="L187" s="63"/>
      <c r="M187" s="64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6"/>
      <c r="J188" s="63"/>
      <c r="K188" s="63"/>
      <c r="L188" s="63"/>
      <c r="M188" s="64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6"/>
      <c r="J189" s="63"/>
      <c r="K189" s="63"/>
      <c r="L189" s="63"/>
      <c r="M189" s="64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6"/>
      <c r="J190" s="63"/>
      <c r="K190" s="63"/>
      <c r="L190" s="63"/>
      <c r="M190" s="64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6"/>
      <c r="J191" s="63"/>
      <c r="K191" s="63"/>
      <c r="L191" s="63"/>
      <c r="M191" s="64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6"/>
      <c r="J192" s="63"/>
      <c r="K192" s="63"/>
      <c r="L192" s="63"/>
      <c r="M192" s="64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6"/>
      <c r="J193" s="63"/>
      <c r="K193" s="63"/>
      <c r="L193" s="63"/>
      <c r="M193" s="64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6"/>
      <c r="J194" s="63"/>
      <c r="K194" s="63"/>
      <c r="L194" s="63"/>
      <c r="M194" s="64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6"/>
      <c r="J195" s="63"/>
      <c r="K195" s="63"/>
      <c r="L195" s="63"/>
      <c r="M195" s="64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6"/>
      <c r="J196" s="63"/>
      <c r="K196" s="63"/>
      <c r="L196" s="63"/>
      <c r="M196" s="64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6"/>
      <c r="J197" s="63"/>
      <c r="K197" s="63"/>
      <c r="L197" s="63"/>
      <c r="M197" s="64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6"/>
      <c r="J198" s="63"/>
      <c r="K198" s="63"/>
      <c r="L198" s="63"/>
      <c r="M198" s="64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6"/>
      <c r="J199" s="63"/>
      <c r="K199" s="63"/>
      <c r="L199" s="63"/>
      <c r="M199" s="64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6"/>
      <c r="J200" s="63"/>
      <c r="K200" s="63"/>
      <c r="L200" s="63"/>
      <c r="M200" s="64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6"/>
      <c r="J201" s="63"/>
      <c r="K201" s="63"/>
      <c r="L201" s="63"/>
      <c r="M201" s="64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6"/>
      <c r="J202" s="63"/>
      <c r="K202" s="63"/>
      <c r="L202" s="63"/>
      <c r="M202" s="64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6"/>
      <c r="J203" s="63"/>
      <c r="K203" s="63"/>
      <c r="L203" s="63"/>
      <c r="M203" s="64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6"/>
      <c r="J204" s="63"/>
      <c r="K204" s="63"/>
      <c r="L204" s="63"/>
      <c r="M204" s="64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6"/>
      <c r="J205" s="63"/>
      <c r="K205" s="63"/>
      <c r="L205" s="63"/>
      <c r="M205" s="64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6"/>
      <c r="J206" s="63"/>
      <c r="K206" s="63"/>
      <c r="L206" s="63"/>
      <c r="M206" s="64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6"/>
      <c r="J207" s="63"/>
      <c r="K207" s="63"/>
      <c r="L207" s="63"/>
      <c r="M207" s="64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6"/>
      <c r="J208" s="63"/>
      <c r="K208" s="63"/>
      <c r="L208" s="63"/>
      <c r="M208" s="64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6"/>
      <c r="J209" s="63"/>
      <c r="K209" s="63"/>
      <c r="L209" s="63"/>
      <c r="M209" s="64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6"/>
      <c r="J210" s="63"/>
      <c r="K210" s="63"/>
      <c r="L210" s="63"/>
      <c r="M210" s="64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6"/>
      <c r="J211" s="63"/>
      <c r="K211" s="63"/>
      <c r="L211" s="63"/>
      <c r="M211" s="64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6"/>
      <c r="J212" s="63"/>
      <c r="K212" s="63"/>
      <c r="L212" s="63"/>
      <c r="M212" s="64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6"/>
      <c r="J213" s="63"/>
      <c r="K213" s="63"/>
      <c r="L213" s="63"/>
      <c r="M213" s="64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6"/>
      <c r="J214" s="63"/>
      <c r="K214" s="63"/>
      <c r="L214" s="63"/>
      <c r="M214" s="64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6"/>
      <c r="J215" s="63"/>
      <c r="K215" s="63"/>
      <c r="L215" s="63"/>
      <c r="M215" s="64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6"/>
      <c r="J216" s="63"/>
      <c r="K216" s="63"/>
      <c r="L216" s="63"/>
      <c r="M216" s="64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6"/>
      <c r="J217" s="63"/>
      <c r="K217" s="63"/>
      <c r="L217" s="63"/>
      <c r="M217" s="64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6"/>
      <c r="J218" s="63"/>
      <c r="K218" s="63"/>
      <c r="L218" s="63"/>
      <c r="M218" s="64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6"/>
      <c r="J219" s="63"/>
      <c r="K219" s="63"/>
      <c r="L219" s="63"/>
      <c r="M219" s="64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6"/>
      <c r="J220" s="63"/>
      <c r="K220" s="63"/>
      <c r="L220" s="63"/>
      <c r="M220" s="64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6"/>
      <c r="J221" s="63"/>
      <c r="K221" s="63"/>
      <c r="L221" s="63"/>
      <c r="M221" s="64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6"/>
      <c r="J222" s="63"/>
      <c r="K222" s="63"/>
      <c r="L222" s="63"/>
      <c r="M222" s="64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6"/>
      <c r="J223" s="63"/>
      <c r="K223" s="63"/>
      <c r="L223" s="63"/>
      <c r="M223" s="64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6"/>
      <c r="J224" s="63"/>
      <c r="K224" s="63"/>
      <c r="L224" s="63"/>
      <c r="M224" s="64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6"/>
      <c r="J225" s="63"/>
      <c r="K225" s="63"/>
      <c r="L225" s="63"/>
      <c r="M225" s="64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6"/>
      <c r="J226" s="63"/>
      <c r="K226" s="63"/>
      <c r="L226" s="63"/>
      <c r="M226" s="64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6"/>
      <c r="J227" s="63"/>
      <c r="K227" s="63"/>
      <c r="L227" s="63"/>
      <c r="M227" s="64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6"/>
      <c r="J228" s="63"/>
      <c r="K228" s="63"/>
      <c r="L228" s="63"/>
      <c r="M228" s="64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6"/>
      <c r="J229" s="63"/>
      <c r="K229" s="63"/>
      <c r="L229" s="63"/>
      <c r="M229" s="64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6"/>
      <c r="J230" s="63"/>
      <c r="K230" s="63"/>
      <c r="L230" s="63"/>
      <c r="M230" s="64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6"/>
      <c r="J231" s="63"/>
      <c r="K231" s="63"/>
      <c r="L231" s="63"/>
      <c r="M231" s="64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6"/>
      <c r="J232" s="63"/>
      <c r="K232" s="63"/>
      <c r="L232" s="63"/>
      <c r="M232" s="64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6"/>
      <c r="J233" s="63"/>
      <c r="K233" s="63"/>
      <c r="L233" s="63"/>
      <c r="M233" s="64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6"/>
      <c r="J234" s="63"/>
      <c r="K234" s="63"/>
      <c r="L234" s="63"/>
      <c r="M234" s="64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6"/>
      <c r="J235" s="63"/>
      <c r="K235" s="63"/>
      <c r="L235" s="63"/>
      <c r="M235" s="64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6"/>
      <c r="J236" s="63"/>
      <c r="K236" s="63"/>
      <c r="L236" s="63"/>
      <c r="M236" s="64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6"/>
      <c r="J237" s="63"/>
      <c r="K237" s="63"/>
      <c r="L237" s="63"/>
      <c r="M237" s="64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6"/>
      <c r="J238" s="63"/>
      <c r="K238" s="63"/>
      <c r="L238" s="63"/>
      <c r="M238" s="64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6"/>
      <c r="J239" s="63"/>
      <c r="K239" s="63"/>
      <c r="L239" s="63"/>
      <c r="M239" s="64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6"/>
      <c r="J240" s="63"/>
      <c r="K240" s="63"/>
      <c r="L240" s="63"/>
      <c r="M240" s="64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6"/>
      <c r="J241" s="63"/>
      <c r="K241" s="63"/>
      <c r="L241" s="63"/>
      <c r="M241" s="64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6"/>
      <c r="J242" s="63"/>
      <c r="K242" s="63"/>
      <c r="L242" s="63"/>
      <c r="M242" s="64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6"/>
      <c r="J243" s="63"/>
      <c r="K243" s="63"/>
      <c r="L243" s="63"/>
      <c r="M243" s="64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6"/>
      <c r="J244" s="63"/>
      <c r="K244" s="63"/>
      <c r="L244" s="63"/>
      <c r="M244" s="64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6"/>
      <c r="J245" s="63"/>
      <c r="K245" s="63"/>
      <c r="L245" s="63"/>
      <c r="M245" s="64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6"/>
      <c r="J246" s="63"/>
      <c r="K246" s="63"/>
      <c r="L246" s="63"/>
      <c r="M246" s="64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6"/>
      <c r="J247" s="63"/>
      <c r="K247" s="63"/>
      <c r="L247" s="63"/>
      <c r="M247" s="64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6"/>
      <c r="J248" s="63"/>
      <c r="K248" s="63"/>
      <c r="L248" s="63"/>
      <c r="M248" s="64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6"/>
      <c r="J249" s="63"/>
      <c r="K249" s="63"/>
      <c r="L249" s="63"/>
      <c r="M249" s="64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6"/>
      <c r="J250" s="63"/>
      <c r="K250" s="63"/>
      <c r="L250" s="63"/>
      <c r="M250" s="64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6"/>
      <c r="J251" s="63"/>
      <c r="K251" s="63"/>
      <c r="L251" s="63"/>
      <c r="M251" s="64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6"/>
      <c r="J252" s="63"/>
      <c r="K252" s="63"/>
      <c r="L252" s="63"/>
      <c r="M252" s="64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6"/>
      <c r="J253" s="63"/>
      <c r="K253" s="63"/>
      <c r="L253" s="63"/>
      <c r="M253" s="64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6"/>
      <c r="J254" s="63"/>
      <c r="K254" s="63"/>
      <c r="L254" s="63"/>
      <c r="M254" s="64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6"/>
      <c r="J255" s="63"/>
      <c r="K255" s="63"/>
      <c r="L255" s="63"/>
      <c r="M255" s="64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6"/>
      <c r="J256" s="63"/>
      <c r="K256" s="63"/>
      <c r="L256" s="63"/>
      <c r="M256" s="64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6"/>
      <c r="J257" s="63"/>
      <c r="K257" s="63"/>
      <c r="L257" s="63"/>
      <c r="M257" s="64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6"/>
      <c r="J258" s="63"/>
      <c r="K258" s="63"/>
      <c r="L258" s="63"/>
      <c r="M258" s="64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6"/>
      <c r="J259" s="63"/>
      <c r="K259" s="63"/>
      <c r="L259" s="63"/>
      <c r="M259" s="64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6"/>
      <c r="J260" s="63"/>
      <c r="K260" s="63"/>
      <c r="L260" s="63"/>
      <c r="M260" s="64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6"/>
      <c r="J261" s="63"/>
      <c r="K261" s="63"/>
      <c r="L261" s="63"/>
      <c r="M261" s="64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6"/>
      <c r="J262" s="63"/>
      <c r="K262" s="63"/>
      <c r="L262" s="63"/>
      <c r="M262" s="64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6"/>
      <c r="J263" s="63"/>
      <c r="K263" s="63"/>
      <c r="L263" s="63"/>
      <c r="M263" s="64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6"/>
      <c r="J264" s="63"/>
      <c r="K264" s="63"/>
      <c r="L264" s="63"/>
      <c r="M264" s="64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6"/>
      <c r="J265" s="63"/>
      <c r="K265" s="63"/>
      <c r="L265" s="63"/>
      <c r="M265" s="64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6"/>
      <c r="J266" s="63"/>
      <c r="K266" s="63"/>
      <c r="L266" s="63"/>
      <c r="M266" s="64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6"/>
      <c r="J267" s="63"/>
      <c r="K267" s="63"/>
      <c r="L267" s="63"/>
      <c r="M267" s="64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6"/>
      <c r="J268" s="63"/>
      <c r="K268" s="63"/>
      <c r="L268" s="63"/>
      <c r="M268" s="64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6"/>
      <c r="J269" s="63"/>
      <c r="K269" s="63"/>
      <c r="L269" s="63"/>
      <c r="M269" s="64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6"/>
      <c r="J270" s="63"/>
      <c r="K270" s="63"/>
      <c r="L270" s="63"/>
      <c r="M270" s="64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6"/>
      <c r="J271" s="63"/>
      <c r="K271" s="63"/>
      <c r="L271" s="63"/>
      <c r="M271" s="64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6"/>
      <c r="J272" s="63"/>
      <c r="K272" s="63"/>
      <c r="L272" s="63"/>
      <c r="M272" s="64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6"/>
      <c r="J273" s="63"/>
      <c r="K273" s="63"/>
      <c r="L273" s="63"/>
      <c r="M273" s="64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6"/>
      <c r="J274" s="63"/>
      <c r="K274" s="63"/>
      <c r="L274" s="63"/>
      <c r="M274" s="64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6"/>
      <c r="J275" s="63"/>
      <c r="K275" s="63"/>
      <c r="L275" s="63"/>
      <c r="M275" s="64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6"/>
      <c r="J276" s="63"/>
      <c r="K276" s="63"/>
      <c r="L276" s="63"/>
      <c r="M276" s="64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6"/>
      <c r="J277" s="63"/>
      <c r="K277" s="63"/>
      <c r="L277" s="63"/>
      <c r="M277" s="64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6"/>
      <c r="J278" s="63"/>
      <c r="K278" s="63"/>
      <c r="L278" s="63"/>
      <c r="M278" s="64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6"/>
      <c r="J279" s="63"/>
      <c r="K279" s="63"/>
      <c r="L279" s="63"/>
      <c r="M279" s="64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6"/>
      <c r="J280" s="63"/>
      <c r="K280" s="63"/>
      <c r="L280" s="63"/>
      <c r="M280" s="64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6"/>
      <c r="J281" s="63"/>
      <c r="K281" s="63"/>
      <c r="L281" s="63"/>
      <c r="M281" s="64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6"/>
      <c r="J282" s="63"/>
      <c r="K282" s="63"/>
      <c r="L282" s="63"/>
      <c r="M282" s="64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6"/>
      <c r="J283" s="63"/>
      <c r="K283" s="63"/>
      <c r="L283" s="63"/>
      <c r="M283" s="64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6"/>
      <c r="J284" s="63"/>
      <c r="K284" s="63"/>
      <c r="L284" s="63"/>
      <c r="M284" s="64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6"/>
      <c r="J285" s="63"/>
      <c r="K285" s="63"/>
      <c r="L285" s="63"/>
      <c r="M285" s="64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6"/>
      <c r="J286" s="63"/>
      <c r="K286" s="63"/>
      <c r="L286" s="63"/>
      <c r="M286" s="64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6"/>
      <c r="J287" s="63"/>
      <c r="K287" s="63"/>
      <c r="L287" s="63"/>
      <c r="M287" s="64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6"/>
      <c r="J288" s="63"/>
      <c r="K288" s="63"/>
      <c r="L288" s="63"/>
      <c r="M288" s="64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6"/>
      <c r="J289" s="63"/>
      <c r="K289" s="63"/>
      <c r="L289" s="63"/>
      <c r="M289" s="64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6"/>
      <c r="J290" s="63"/>
      <c r="K290" s="63"/>
      <c r="L290" s="63"/>
      <c r="M290" s="64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6"/>
      <c r="J291" s="63"/>
      <c r="K291" s="63"/>
      <c r="L291" s="63"/>
      <c r="M291" s="64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6"/>
      <c r="J292" s="63"/>
      <c r="K292" s="63"/>
      <c r="L292" s="63"/>
      <c r="M292" s="64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6"/>
      <c r="J293" s="63"/>
      <c r="K293" s="63"/>
      <c r="L293" s="63"/>
      <c r="M293" s="64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6"/>
      <c r="J294" s="63"/>
      <c r="K294" s="63"/>
      <c r="L294" s="63"/>
      <c r="M294" s="64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6"/>
      <c r="J295" s="63"/>
      <c r="K295" s="63"/>
      <c r="L295" s="63"/>
      <c r="M295" s="64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6"/>
      <c r="J296" s="63"/>
      <c r="K296" s="63"/>
      <c r="L296" s="63"/>
      <c r="M296" s="64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6"/>
      <c r="J297" s="63"/>
      <c r="K297" s="63"/>
      <c r="L297" s="63"/>
      <c r="M297" s="64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6"/>
      <c r="J298" s="63"/>
      <c r="K298" s="63"/>
      <c r="L298" s="63"/>
      <c r="M298" s="64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6"/>
      <c r="J299" s="63"/>
      <c r="K299" s="63"/>
      <c r="L299" s="63"/>
      <c r="M299" s="64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6"/>
      <c r="J300" s="63"/>
      <c r="K300" s="63"/>
      <c r="L300" s="63"/>
      <c r="M300" s="64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6"/>
      <c r="J301" s="63"/>
      <c r="K301" s="63"/>
      <c r="L301" s="63"/>
      <c r="M301" s="64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6"/>
      <c r="J302" s="63"/>
      <c r="K302" s="63"/>
      <c r="L302" s="63"/>
      <c r="M302" s="64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6"/>
      <c r="J303" s="63"/>
      <c r="K303" s="63"/>
      <c r="L303" s="63"/>
      <c r="M303" s="64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6"/>
      <c r="J304" s="63"/>
      <c r="K304" s="63"/>
      <c r="L304" s="63"/>
      <c r="M304" s="64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6"/>
      <c r="J305" s="63"/>
      <c r="K305" s="63"/>
      <c r="L305" s="63"/>
      <c r="M305" s="64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6"/>
      <c r="J306" s="63"/>
      <c r="K306" s="63"/>
      <c r="L306" s="63"/>
      <c r="M306" s="64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6"/>
      <c r="J307" s="63"/>
      <c r="K307" s="63"/>
      <c r="L307" s="63"/>
      <c r="M307" s="64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6"/>
      <c r="J308" s="63"/>
      <c r="K308" s="63"/>
      <c r="L308" s="63"/>
      <c r="M308" s="64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6"/>
      <c r="J309" s="63"/>
      <c r="K309" s="63"/>
      <c r="L309" s="63"/>
      <c r="M309" s="64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6"/>
      <c r="J310" s="63"/>
      <c r="K310" s="63"/>
      <c r="L310" s="63"/>
      <c r="M310" s="64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6"/>
      <c r="J311" s="63"/>
      <c r="K311" s="63"/>
      <c r="L311" s="63"/>
      <c r="M311" s="64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6"/>
      <c r="J312" s="63"/>
      <c r="K312" s="63"/>
      <c r="L312" s="63"/>
      <c r="M312" s="64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6"/>
      <c r="J313" s="63"/>
      <c r="K313" s="63"/>
      <c r="L313" s="63"/>
      <c r="M313" s="64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6"/>
      <c r="J314" s="63"/>
      <c r="K314" s="63"/>
      <c r="L314" s="63"/>
      <c r="M314" s="64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6"/>
      <c r="J315" s="63"/>
      <c r="K315" s="63"/>
      <c r="L315" s="63"/>
      <c r="M315" s="64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6"/>
      <c r="J316" s="63"/>
      <c r="K316" s="63"/>
      <c r="L316" s="63"/>
      <c r="M316" s="64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6"/>
      <c r="J317" s="63"/>
      <c r="K317" s="63"/>
      <c r="L317" s="63"/>
      <c r="M317" s="64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6"/>
      <c r="J318" s="63"/>
      <c r="K318" s="63"/>
      <c r="L318" s="63"/>
      <c r="M318" s="64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6"/>
      <c r="J319" s="63"/>
      <c r="K319" s="63"/>
      <c r="L319" s="63"/>
      <c r="M319" s="64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6"/>
      <c r="J320" s="63"/>
      <c r="K320" s="63"/>
      <c r="L320" s="63"/>
      <c r="M320" s="64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6"/>
      <c r="J321" s="63"/>
      <c r="K321" s="63"/>
      <c r="L321" s="63"/>
      <c r="M321" s="64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6"/>
      <c r="J322" s="63"/>
      <c r="K322" s="63"/>
      <c r="L322" s="63"/>
      <c r="M322" s="64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6"/>
      <c r="J323" s="63"/>
      <c r="K323" s="63"/>
      <c r="L323" s="63"/>
      <c r="M323" s="64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6"/>
      <c r="J324" s="63"/>
      <c r="K324" s="63"/>
      <c r="L324" s="63"/>
      <c r="M324" s="64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6"/>
      <c r="J325" s="63"/>
      <c r="K325" s="63"/>
      <c r="L325" s="63"/>
      <c r="M325" s="64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6"/>
      <c r="J326" s="63"/>
      <c r="K326" s="63"/>
      <c r="L326" s="63"/>
      <c r="M326" s="64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6"/>
      <c r="J327" s="63"/>
      <c r="K327" s="63"/>
      <c r="L327" s="63"/>
      <c r="M327" s="64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6"/>
      <c r="J328" s="63"/>
      <c r="K328" s="63"/>
      <c r="L328" s="63"/>
      <c r="M328" s="64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6"/>
      <c r="J329" s="63"/>
      <c r="K329" s="63"/>
      <c r="L329" s="63"/>
      <c r="M329" s="64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6"/>
      <c r="J330" s="63"/>
      <c r="K330" s="63"/>
      <c r="L330" s="63"/>
      <c r="M330" s="64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6"/>
      <c r="J331" s="63"/>
      <c r="K331" s="63"/>
      <c r="L331" s="63"/>
      <c r="M331" s="64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6"/>
      <c r="J332" s="63"/>
      <c r="K332" s="63"/>
      <c r="L332" s="63"/>
      <c r="M332" s="64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6"/>
      <c r="J333" s="63"/>
      <c r="K333" s="63"/>
      <c r="L333" s="63"/>
      <c r="M333" s="64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6"/>
      <c r="J334" s="63"/>
      <c r="K334" s="63"/>
      <c r="L334" s="63"/>
      <c r="M334" s="64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6"/>
      <c r="J335" s="63"/>
      <c r="K335" s="63"/>
      <c r="L335" s="63"/>
      <c r="M335" s="64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6"/>
      <c r="J336" s="63"/>
      <c r="K336" s="63"/>
      <c r="L336" s="63"/>
      <c r="M336" s="64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6"/>
      <c r="J337" s="63"/>
      <c r="K337" s="63"/>
      <c r="L337" s="63"/>
      <c r="M337" s="64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6"/>
      <c r="J338" s="63"/>
      <c r="K338" s="63"/>
      <c r="L338" s="63"/>
      <c r="M338" s="64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6"/>
      <c r="J339" s="63"/>
      <c r="K339" s="63"/>
      <c r="L339" s="63"/>
      <c r="M339" s="64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6"/>
      <c r="J340" s="63"/>
      <c r="K340" s="63"/>
      <c r="L340" s="63"/>
      <c r="M340" s="64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6"/>
      <c r="J341" s="63"/>
      <c r="K341" s="63"/>
      <c r="L341" s="63"/>
      <c r="M341" s="64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6"/>
      <c r="J342" s="63"/>
      <c r="K342" s="63"/>
      <c r="L342" s="63"/>
      <c r="M342" s="64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6"/>
      <c r="J343" s="63"/>
      <c r="K343" s="63"/>
      <c r="L343" s="63"/>
      <c r="M343" s="64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6"/>
      <c r="J344" s="63"/>
      <c r="K344" s="63"/>
      <c r="L344" s="63"/>
      <c r="M344" s="64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6"/>
      <c r="J345" s="63"/>
      <c r="K345" s="63"/>
      <c r="L345" s="63"/>
      <c r="M345" s="64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6"/>
      <c r="J346" s="63"/>
      <c r="K346" s="63"/>
      <c r="L346" s="63"/>
      <c r="M346" s="64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6"/>
      <c r="J347" s="63"/>
      <c r="K347" s="63"/>
      <c r="L347" s="63"/>
      <c r="M347" s="64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6"/>
      <c r="J348" s="63"/>
      <c r="K348" s="63"/>
      <c r="L348" s="63"/>
      <c r="M348" s="64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6"/>
      <c r="J349" s="63"/>
      <c r="K349" s="63"/>
      <c r="L349" s="63"/>
      <c r="M349" s="64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6"/>
      <c r="J350" s="63"/>
      <c r="K350" s="63"/>
      <c r="L350" s="63"/>
      <c r="M350" s="64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6"/>
      <c r="J351" s="63"/>
      <c r="K351" s="63"/>
      <c r="L351" s="63"/>
      <c r="M351" s="64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6"/>
      <c r="J352" s="63"/>
      <c r="K352" s="63"/>
      <c r="L352" s="63"/>
      <c r="M352" s="64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6"/>
      <c r="J353" s="63"/>
      <c r="K353" s="63"/>
      <c r="L353" s="63"/>
      <c r="M353" s="64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6"/>
      <c r="J354" s="63"/>
      <c r="K354" s="63"/>
      <c r="L354" s="63"/>
      <c r="M354" s="64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6"/>
      <c r="J355" s="63"/>
      <c r="K355" s="63"/>
      <c r="L355" s="63"/>
      <c r="M355" s="64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6"/>
      <c r="J356" s="63"/>
      <c r="K356" s="63"/>
      <c r="L356" s="63"/>
      <c r="M356" s="64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6"/>
      <c r="J357" s="63"/>
      <c r="K357" s="63"/>
      <c r="L357" s="63"/>
      <c r="M357" s="64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6"/>
      <c r="J358" s="63"/>
      <c r="K358" s="63"/>
      <c r="L358" s="63"/>
      <c r="M358" s="64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6"/>
      <c r="J359" s="63"/>
      <c r="K359" s="63"/>
      <c r="L359" s="63"/>
      <c r="M359" s="64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6"/>
      <c r="J360" s="63"/>
      <c r="K360" s="63"/>
      <c r="L360" s="63"/>
      <c r="M360" s="64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6"/>
      <c r="J361" s="63"/>
      <c r="K361" s="63"/>
      <c r="L361" s="63"/>
      <c r="M361" s="64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6"/>
      <c r="J362" s="63"/>
      <c r="K362" s="63"/>
      <c r="L362" s="63"/>
      <c r="M362" s="64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6"/>
      <c r="J363" s="63"/>
      <c r="K363" s="63"/>
      <c r="L363" s="63"/>
      <c r="M363" s="64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6"/>
      <c r="J364" s="63"/>
      <c r="K364" s="63"/>
      <c r="L364" s="63"/>
      <c r="M364" s="64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6"/>
      <c r="J365" s="63"/>
      <c r="K365" s="63"/>
      <c r="L365" s="63"/>
      <c r="M365" s="64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6"/>
      <c r="J366" s="63"/>
      <c r="K366" s="63"/>
      <c r="L366" s="63"/>
      <c r="M366" s="64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6"/>
      <c r="J367" s="63"/>
      <c r="K367" s="63"/>
      <c r="L367" s="63"/>
      <c r="M367" s="64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6"/>
      <c r="J368" s="63"/>
      <c r="K368" s="63"/>
      <c r="L368" s="63"/>
      <c r="M368" s="64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6"/>
      <c r="J369" s="63"/>
      <c r="K369" s="63"/>
      <c r="L369" s="63"/>
      <c r="M369" s="64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6"/>
      <c r="J370" s="63"/>
      <c r="K370" s="63"/>
      <c r="L370" s="63"/>
      <c r="M370" s="64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6"/>
      <c r="J371" s="63"/>
      <c r="K371" s="63"/>
      <c r="L371" s="63"/>
      <c r="M371" s="64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6"/>
      <c r="J372" s="63"/>
      <c r="K372" s="63"/>
      <c r="L372" s="63"/>
      <c r="M372" s="64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6"/>
      <c r="J373" s="63"/>
      <c r="K373" s="63"/>
      <c r="L373" s="63"/>
      <c r="M373" s="64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6"/>
      <c r="J374" s="63"/>
      <c r="K374" s="63"/>
      <c r="L374" s="63"/>
      <c r="M374" s="64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6"/>
      <c r="J375" s="63"/>
      <c r="K375" s="63"/>
      <c r="L375" s="63"/>
      <c r="M375" s="64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6"/>
      <c r="J376" s="63"/>
      <c r="K376" s="63"/>
      <c r="L376" s="63"/>
      <c r="M376" s="64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6"/>
      <c r="J377" s="63"/>
      <c r="K377" s="63"/>
      <c r="L377" s="63"/>
      <c r="M377" s="64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6"/>
      <c r="J378" s="63"/>
      <c r="K378" s="63"/>
      <c r="L378" s="63"/>
      <c r="M378" s="64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6"/>
      <c r="J379" s="63"/>
      <c r="K379" s="63"/>
      <c r="L379" s="63"/>
      <c r="M379" s="64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6"/>
      <c r="J380" s="63"/>
      <c r="K380" s="63"/>
      <c r="L380" s="63"/>
      <c r="M380" s="64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6"/>
      <c r="J381" s="63"/>
      <c r="K381" s="63"/>
      <c r="L381" s="63"/>
      <c r="M381" s="64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6"/>
      <c r="J382" s="63"/>
      <c r="K382" s="63"/>
      <c r="L382" s="63"/>
      <c r="M382" s="64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6"/>
      <c r="J383" s="63"/>
      <c r="K383" s="63"/>
      <c r="L383" s="63"/>
      <c r="M383" s="64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6"/>
      <c r="J384" s="63"/>
      <c r="K384" s="63"/>
      <c r="L384" s="63"/>
      <c r="M384" s="64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6"/>
      <c r="J385" s="63"/>
      <c r="K385" s="63"/>
      <c r="L385" s="63"/>
      <c r="M385" s="64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6"/>
      <c r="J386" s="63"/>
      <c r="K386" s="63"/>
      <c r="L386" s="63"/>
      <c r="M386" s="64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6"/>
      <c r="J387" s="63"/>
      <c r="K387" s="63"/>
      <c r="L387" s="63"/>
      <c r="M387" s="64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6"/>
      <c r="J388" s="63"/>
      <c r="K388" s="63"/>
      <c r="L388" s="63"/>
      <c r="M388" s="64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6"/>
      <c r="J389" s="63"/>
      <c r="K389" s="63"/>
      <c r="L389" s="63"/>
      <c r="M389" s="64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6"/>
      <c r="J390" s="63"/>
      <c r="K390" s="63"/>
      <c r="L390" s="63"/>
      <c r="M390" s="64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6"/>
      <c r="J391" s="63"/>
      <c r="K391" s="63"/>
      <c r="L391" s="63"/>
      <c r="M391" s="64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6"/>
      <c r="J392" s="63"/>
      <c r="K392" s="63"/>
      <c r="L392" s="63"/>
      <c r="M392" s="64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6"/>
      <c r="J393" s="63"/>
      <c r="K393" s="63"/>
      <c r="L393" s="63"/>
      <c r="M393" s="64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6"/>
      <c r="J394" s="63"/>
      <c r="K394" s="63"/>
      <c r="L394" s="63"/>
      <c r="M394" s="64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6"/>
      <c r="J395" s="63"/>
      <c r="K395" s="63"/>
      <c r="L395" s="63"/>
      <c r="M395" s="64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6"/>
      <c r="J396" s="63"/>
      <c r="K396" s="63"/>
      <c r="L396" s="63"/>
      <c r="M396" s="64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6"/>
      <c r="J397" s="63"/>
      <c r="K397" s="63"/>
      <c r="L397" s="63"/>
      <c r="M397" s="64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6"/>
      <c r="J398" s="63"/>
      <c r="K398" s="63"/>
      <c r="L398" s="63"/>
      <c r="M398" s="64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6"/>
      <c r="J399" s="63"/>
      <c r="K399" s="63"/>
      <c r="L399" s="63"/>
      <c r="M399" s="64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6"/>
      <c r="J400" s="63"/>
      <c r="K400" s="63"/>
      <c r="L400" s="63"/>
      <c r="M400" s="64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6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6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6"/>
      <c r="J403" s="63"/>
      <c r="K403" s="63"/>
      <c r="L403" s="63"/>
      <c r="M403" s="64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6"/>
      <c r="J404" s="63"/>
      <c r="K404" s="63"/>
      <c r="L404" s="63"/>
      <c r="M404" s="64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6"/>
      <c r="J405" s="63"/>
      <c r="K405" s="63"/>
      <c r="L405" s="63"/>
      <c r="M405" s="64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6"/>
      <c r="J406" s="63"/>
      <c r="K406" s="63"/>
      <c r="L406" s="63"/>
      <c r="M406" s="64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6"/>
      <c r="J407" s="63"/>
      <c r="K407" s="63"/>
      <c r="L407" s="63"/>
      <c r="M407" s="64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6"/>
      <c r="J408" s="63"/>
      <c r="K408" s="63"/>
      <c r="L408" s="63"/>
      <c r="M408" s="64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6"/>
      <c r="J409" s="63"/>
      <c r="K409" s="63"/>
      <c r="L409" s="63"/>
      <c r="M409" s="64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6"/>
      <c r="J410" s="63"/>
      <c r="K410" s="63"/>
      <c r="L410" s="63"/>
      <c r="M410" s="64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6"/>
      <c r="J411" s="63"/>
      <c r="K411" s="63"/>
      <c r="L411" s="63"/>
      <c r="M411" s="64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6"/>
      <c r="J412" s="63"/>
      <c r="K412" s="63"/>
      <c r="L412" s="63"/>
      <c r="M412" s="64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6"/>
      <c r="J413" s="63"/>
      <c r="K413" s="63"/>
      <c r="L413" s="63"/>
      <c r="M413" s="64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6"/>
      <c r="J414" s="63"/>
      <c r="K414" s="63"/>
      <c r="L414" s="63"/>
      <c r="M414" s="64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6"/>
      <c r="J415" s="63"/>
      <c r="K415" s="63"/>
      <c r="L415" s="63"/>
      <c r="M415" s="64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6"/>
      <c r="J416" s="63"/>
      <c r="K416" s="63"/>
      <c r="L416" s="63"/>
      <c r="M416" s="64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6"/>
      <c r="J417" s="63"/>
      <c r="K417" s="63"/>
      <c r="L417" s="63"/>
      <c r="M417" s="64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6"/>
      <c r="J418" s="63"/>
      <c r="K418" s="63"/>
      <c r="L418" s="63"/>
      <c r="M418" s="64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6"/>
      <c r="J419" s="63"/>
      <c r="K419" s="63"/>
      <c r="L419" s="63"/>
      <c r="M419" s="64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6"/>
      <c r="J420" s="63"/>
      <c r="K420" s="63"/>
      <c r="L420" s="63"/>
      <c r="M420" s="64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6"/>
      <c r="J421" s="63"/>
      <c r="K421" s="63"/>
      <c r="L421" s="63"/>
      <c r="M421" s="64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6"/>
      <c r="J422" s="63"/>
      <c r="K422" s="63"/>
      <c r="L422" s="63"/>
      <c r="M422" s="64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6"/>
      <c r="J423" s="63"/>
      <c r="K423" s="63"/>
      <c r="L423" s="63"/>
      <c r="M423" s="64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6"/>
      <c r="J424" s="63"/>
      <c r="K424" s="63"/>
      <c r="L424" s="63"/>
      <c r="M424" s="64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6"/>
      <c r="J425" s="63"/>
      <c r="K425" s="63"/>
      <c r="L425" s="63"/>
      <c r="M425" s="64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6"/>
      <c r="J426" s="63"/>
      <c r="K426" s="63"/>
      <c r="L426" s="63"/>
      <c r="M426" s="64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6"/>
      <c r="J427" s="63"/>
      <c r="K427" s="63"/>
      <c r="L427" s="63"/>
      <c r="M427" s="64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6"/>
      <c r="J428" s="63"/>
      <c r="K428" s="63"/>
      <c r="L428" s="63"/>
      <c r="M428" s="64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6"/>
      <c r="J429" s="63"/>
      <c r="K429" s="63"/>
      <c r="L429" s="63"/>
      <c r="M429" s="64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6"/>
      <c r="J430" s="63"/>
      <c r="K430" s="63"/>
      <c r="L430" s="63"/>
      <c r="M430" s="64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6"/>
      <c r="J431" s="63"/>
      <c r="K431" s="63"/>
      <c r="L431" s="63"/>
      <c r="M431" s="64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6"/>
      <c r="J432" s="63"/>
      <c r="K432" s="63"/>
      <c r="L432" s="63"/>
      <c r="M432" s="64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6"/>
      <c r="J433" s="63"/>
      <c r="K433" s="63"/>
      <c r="L433" s="63"/>
      <c r="M433" s="64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6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6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6"/>
      <c r="J436" s="63"/>
      <c r="K436" s="63"/>
      <c r="L436" s="63"/>
      <c r="M436" s="64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6"/>
      <c r="J437" s="63"/>
      <c r="K437" s="63"/>
      <c r="L437" s="63"/>
      <c r="M437" s="64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6"/>
      <c r="J438" s="63"/>
      <c r="K438" s="63"/>
      <c r="L438" s="63"/>
      <c r="M438" s="64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6"/>
      <c r="J439" s="63"/>
      <c r="K439" s="63"/>
      <c r="L439" s="63"/>
      <c r="M439" s="64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6"/>
      <c r="J440" s="63"/>
      <c r="K440" s="63"/>
      <c r="L440" s="63"/>
      <c r="M440" s="64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6"/>
      <c r="J441" s="63"/>
      <c r="K441" s="63"/>
      <c r="L441" s="63"/>
      <c r="M441" s="64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6"/>
      <c r="J442" s="63"/>
      <c r="K442" s="63"/>
      <c r="L442" s="63"/>
      <c r="M442" s="64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6"/>
      <c r="J443" s="63"/>
      <c r="K443" s="63"/>
      <c r="L443" s="63"/>
      <c r="M443" s="64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6"/>
      <c r="J444" s="63"/>
      <c r="K444" s="63"/>
      <c r="L444" s="63"/>
      <c r="M444" s="64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6"/>
      <c r="J445" s="63"/>
      <c r="K445" s="63"/>
      <c r="L445" s="63"/>
      <c r="M445" s="64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6"/>
      <c r="J446" s="63"/>
      <c r="K446" s="63"/>
      <c r="L446" s="63"/>
      <c r="M446" s="64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6"/>
      <c r="J447" s="63"/>
      <c r="K447" s="63"/>
      <c r="L447" s="63"/>
      <c r="M447" s="64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6"/>
      <c r="J448" s="63"/>
      <c r="K448" s="63"/>
      <c r="L448" s="63"/>
      <c r="M448" s="64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6"/>
      <c r="J449" s="63"/>
      <c r="K449" s="63"/>
      <c r="L449" s="63"/>
      <c r="M449" s="64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6"/>
      <c r="J450" s="63"/>
      <c r="K450" s="63"/>
      <c r="L450" s="63"/>
      <c r="M450" s="64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6"/>
      <c r="J451" s="63"/>
      <c r="K451" s="63"/>
      <c r="L451" s="63"/>
      <c r="M451" s="64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6"/>
      <c r="J452" s="63"/>
      <c r="K452" s="63"/>
      <c r="L452" s="63"/>
      <c r="M452" s="64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6"/>
      <c r="J453" s="63"/>
      <c r="K453" s="63"/>
      <c r="L453" s="63"/>
      <c r="M453" s="64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6"/>
      <c r="J454" s="63"/>
      <c r="K454" s="63"/>
      <c r="L454" s="63"/>
      <c r="M454" s="64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6"/>
      <c r="J455" s="63"/>
      <c r="K455" s="63"/>
      <c r="L455" s="63"/>
      <c r="M455" s="64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6"/>
      <c r="J456" s="63"/>
      <c r="K456" s="63"/>
      <c r="L456" s="63"/>
      <c r="M456" s="64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6"/>
      <c r="J457" s="63"/>
      <c r="K457" s="63"/>
      <c r="L457" s="63"/>
      <c r="M457" s="64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6"/>
      <c r="J458" s="63"/>
      <c r="K458" s="63"/>
      <c r="L458" s="63"/>
      <c r="M458" s="64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6"/>
      <c r="J459" s="63"/>
      <c r="K459" s="63"/>
      <c r="L459" s="63"/>
      <c r="M459" s="64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6"/>
      <c r="J460" s="63"/>
      <c r="K460" s="63"/>
      <c r="L460" s="63"/>
      <c r="M460" s="64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6"/>
      <c r="J461" s="63"/>
      <c r="K461" s="63"/>
      <c r="L461" s="63"/>
      <c r="M461" s="64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6"/>
      <c r="J462" s="63"/>
      <c r="K462" s="63"/>
      <c r="L462" s="63"/>
      <c r="M462" s="64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6"/>
      <c r="J463" s="63"/>
      <c r="K463" s="63"/>
      <c r="L463" s="63"/>
      <c r="M463" s="64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6"/>
      <c r="J464" s="63"/>
      <c r="K464" s="63"/>
      <c r="L464" s="63"/>
      <c r="M464" s="64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6"/>
      <c r="J465" s="63"/>
      <c r="K465" s="63"/>
      <c r="L465" s="63"/>
      <c r="M465" s="64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6"/>
      <c r="J466" s="63"/>
      <c r="K466" s="63"/>
      <c r="L466" s="63"/>
      <c r="M466" s="64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6"/>
      <c r="J467" s="63"/>
      <c r="K467" s="63"/>
      <c r="L467" s="63"/>
      <c r="M467" s="64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6"/>
      <c r="J468" s="63"/>
      <c r="K468" s="63"/>
      <c r="L468" s="63"/>
      <c r="M468" s="64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6"/>
      <c r="J469" s="63"/>
      <c r="K469" s="63"/>
      <c r="L469" s="63"/>
      <c r="M469" s="64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6"/>
      <c r="J470" s="63"/>
      <c r="K470" s="63"/>
      <c r="L470" s="63"/>
      <c r="M470" s="64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6"/>
      <c r="J471" s="63"/>
      <c r="K471" s="63"/>
      <c r="L471" s="63"/>
      <c r="M471" s="64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6"/>
      <c r="J472" s="63"/>
      <c r="K472" s="63"/>
      <c r="L472" s="63"/>
      <c r="M472" s="64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6"/>
      <c r="J473" s="63"/>
      <c r="K473" s="63"/>
      <c r="L473" s="63"/>
      <c r="M473" s="64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6"/>
      <c r="J474" s="63"/>
      <c r="K474" s="63"/>
      <c r="L474" s="63"/>
      <c r="M474" s="64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6"/>
      <c r="J475" s="63"/>
      <c r="K475" s="63"/>
      <c r="L475" s="63"/>
      <c r="M475" s="64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6"/>
      <c r="J476" s="63"/>
      <c r="K476" s="63"/>
      <c r="L476" s="63"/>
      <c r="M476" s="64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6"/>
      <c r="J477" s="63"/>
      <c r="K477" s="63"/>
      <c r="L477" s="63"/>
      <c r="M477" s="64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6"/>
      <c r="J478" s="63"/>
      <c r="K478" s="63"/>
      <c r="L478" s="63"/>
      <c r="M478" s="64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6"/>
      <c r="J479" s="63"/>
      <c r="K479" s="63"/>
      <c r="L479" s="63"/>
      <c r="M479" s="64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6"/>
      <c r="J480" s="63"/>
      <c r="K480" s="63"/>
      <c r="L480" s="63"/>
      <c r="M480" s="64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6"/>
      <c r="J481" s="63"/>
      <c r="K481" s="63"/>
      <c r="L481" s="63"/>
      <c r="M481" s="64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6"/>
      <c r="J482" s="63"/>
      <c r="K482" s="63"/>
      <c r="L482" s="63"/>
      <c r="M482" s="64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6"/>
      <c r="J483" s="63"/>
      <c r="K483" s="63"/>
      <c r="L483" s="63"/>
      <c r="M483" s="64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6"/>
      <c r="J484" s="63"/>
      <c r="K484" s="63"/>
      <c r="L484" s="63"/>
      <c r="M484" s="64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6"/>
      <c r="J485" s="63"/>
      <c r="K485" s="63"/>
      <c r="L485" s="63"/>
      <c r="M485" s="64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6"/>
      <c r="J486" s="63"/>
      <c r="K486" s="63"/>
      <c r="L486" s="63"/>
      <c r="M486" s="64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6"/>
      <c r="J487" s="63"/>
      <c r="K487" s="63"/>
      <c r="L487" s="63"/>
      <c r="M487" s="64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6"/>
      <c r="J488" s="63"/>
      <c r="K488" s="63"/>
      <c r="L488" s="63"/>
      <c r="M488" s="64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6"/>
      <c r="J489" s="63"/>
      <c r="K489" s="63"/>
      <c r="L489" s="63"/>
      <c r="M489" s="64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6"/>
      <c r="J490" s="63"/>
      <c r="K490" s="63"/>
      <c r="L490" s="63"/>
      <c r="M490" s="64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6"/>
      <c r="J491" s="63"/>
      <c r="K491" s="63"/>
      <c r="L491" s="63"/>
      <c r="M491" s="64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6"/>
      <c r="J492" s="63"/>
      <c r="K492" s="63"/>
      <c r="L492" s="63"/>
      <c r="M492" s="64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6"/>
      <c r="J493" s="63"/>
      <c r="K493" s="63"/>
      <c r="L493" s="63"/>
      <c r="M493" s="64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6"/>
      <c r="J494" s="63"/>
      <c r="K494" s="63"/>
      <c r="L494" s="63"/>
      <c r="M494" s="64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6"/>
      <c r="J495" s="63"/>
      <c r="K495" s="63"/>
      <c r="L495" s="63"/>
      <c r="M495" s="64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6"/>
      <c r="J496" s="63"/>
      <c r="K496" s="63"/>
      <c r="L496" s="63"/>
      <c r="M496" s="64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6"/>
      <c r="J497" s="63"/>
      <c r="K497" s="63"/>
      <c r="L497" s="63"/>
      <c r="M497" s="64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6"/>
      <c r="J498" s="63"/>
      <c r="K498" s="63"/>
      <c r="L498" s="63"/>
      <c r="M498" s="64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6"/>
      <c r="J499" s="63"/>
      <c r="K499" s="63"/>
      <c r="L499" s="63"/>
      <c r="M499" s="64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6"/>
      <c r="J500" s="63"/>
      <c r="K500" s="63"/>
      <c r="L500" s="63"/>
      <c r="M500" s="64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6"/>
      <c r="J501" s="63"/>
      <c r="K501" s="63"/>
      <c r="L501" s="63"/>
      <c r="M501" s="64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6"/>
      <c r="J502" s="63"/>
      <c r="K502" s="63"/>
      <c r="L502" s="63"/>
      <c r="M502" s="64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6"/>
      <c r="J503" s="63"/>
      <c r="K503" s="63"/>
      <c r="L503" s="63"/>
      <c r="M503" s="64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6"/>
      <c r="J504" s="63"/>
      <c r="K504" s="63"/>
      <c r="L504" s="63"/>
      <c r="M504" s="64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6"/>
      <c r="J505" s="63"/>
      <c r="K505" s="63"/>
      <c r="L505" s="63"/>
      <c r="M505" s="64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6"/>
      <c r="J506" s="63"/>
      <c r="K506" s="63"/>
      <c r="L506" s="63"/>
      <c r="M506" s="64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6"/>
      <c r="J507" s="63"/>
      <c r="K507" s="63"/>
      <c r="L507" s="63"/>
      <c r="M507" s="64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6"/>
      <c r="J508" s="63"/>
      <c r="K508" s="63"/>
      <c r="L508" s="63"/>
      <c r="M508" s="64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6"/>
      <c r="J509" s="63"/>
      <c r="K509" s="63"/>
      <c r="L509" s="63"/>
      <c r="M509" s="64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6"/>
      <c r="J510" s="63"/>
      <c r="K510" s="63"/>
      <c r="L510" s="63"/>
      <c r="M510" s="64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6"/>
      <c r="J511" s="63"/>
      <c r="K511" s="63"/>
      <c r="L511" s="63"/>
      <c r="M511" s="64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6"/>
      <c r="J512" s="63"/>
      <c r="K512" s="63"/>
      <c r="L512" s="63"/>
      <c r="M512" s="64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6"/>
      <c r="J513" s="63"/>
      <c r="K513" s="63"/>
      <c r="L513" s="63"/>
      <c r="M513" s="64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6"/>
      <c r="J514" s="63"/>
      <c r="K514" s="63"/>
      <c r="L514" s="63"/>
      <c r="M514" s="64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6"/>
      <c r="J515" s="63"/>
      <c r="K515" s="63"/>
      <c r="L515" s="63"/>
      <c r="M515" s="64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6"/>
      <c r="J516" s="63"/>
      <c r="K516" s="63"/>
      <c r="L516" s="63"/>
      <c r="M516" s="64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6"/>
      <c r="J517" s="63"/>
      <c r="K517" s="63"/>
      <c r="L517" s="63"/>
      <c r="M517" s="64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6"/>
      <c r="J518" s="63"/>
      <c r="K518" s="63"/>
      <c r="L518" s="63"/>
      <c r="M518" s="64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6"/>
      <c r="J519" s="63"/>
      <c r="K519" s="63"/>
      <c r="L519" s="63"/>
      <c r="M519" s="64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6"/>
      <c r="J520" s="63"/>
      <c r="K520" s="63"/>
      <c r="L520" s="63"/>
      <c r="M520" s="64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6"/>
      <c r="J521" s="63"/>
      <c r="K521" s="63"/>
      <c r="L521" s="63"/>
      <c r="M521" s="64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6"/>
      <c r="J522" s="63"/>
      <c r="K522" s="63"/>
      <c r="L522" s="63"/>
      <c r="M522" s="64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6"/>
      <c r="J523" s="63"/>
      <c r="K523" s="63"/>
      <c r="L523" s="63"/>
      <c r="M523" s="64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6"/>
      <c r="J524" s="63"/>
      <c r="K524" s="63"/>
      <c r="L524" s="63"/>
      <c r="M524" s="64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6"/>
      <c r="J525" s="63"/>
      <c r="K525" s="63"/>
      <c r="L525" s="63"/>
      <c r="M525" s="64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6"/>
      <c r="J526" s="63"/>
      <c r="K526" s="63"/>
      <c r="L526" s="63"/>
      <c r="M526" s="64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6"/>
      <c r="J527" s="63"/>
      <c r="K527" s="63"/>
      <c r="L527" s="63"/>
      <c r="M527" s="64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6"/>
      <c r="J528" s="63"/>
      <c r="K528" s="63"/>
      <c r="L528" s="63"/>
      <c r="M528" s="64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6"/>
      <c r="J529" s="63"/>
      <c r="K529" s="63"/>
      <c r="L529" s="63"/>
      <c r="M529" s="64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6"/>
      <c r="J530" s="63"/>
      <c r="K530" s="63"/>
      <c r="L530" s="63"/>
      <c r="M530" s="64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6"/>
      <c r="J531" s="63"/>
      <c r="K531" s="63"/>
      <c r="L531" s="63"/>
      <c r="M531" s="64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6"/>
      <c r="J532" s="63"/>
      <c r="K532" s="63"/>
      <c r="L532" s="63"/>
      <c r="M532" s="64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6"/>
      <c r="J533" s="63"/>
      <c r="K533" s="63"/>
      <c r="L533" s="63"/>
      <c r="M533" s="64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6"/>
      <c r="J534" s="63"/>
      <c r="K534" s="63"/>
      <c r="L534" s="63"/>
      <c r="M534" s="64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6"/>
      <c r="J535" s="63"/>
      <c r="K535" s="63"/>
      <c r="L535" s="63"/>
      <c r="M535" s="64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6"/>
      <c r="J536" s="63"/>
      <c r="K536" s="63"/>
      <c r="L536" s="63"/>
      <c r="M536" s="64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6"/>
      <c r="J537" s="63"/>
      <c r="K537" s="63"/>
      <c r="L537" s="63"/>
      <c r="M537" s="64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6"/>
      <c r="J538" s="63"/>
      <c r="K538" s="63"/>
      <c r="L538" s="63"/>
      <c r="M538" s="64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6"/>
      <c r="J539" s="63"/>
      <c r="K539" s="63"/>
      <c r="L539" s="63"/>
      <c r="M539" s="64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6"/>
      <c r="J540" s="63"/>
      <c r="K540" s="63"/>
      <c r="L540" s="63"/>
      <c r="M540" s="64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6"/>
      <c r="J541" s="63"/>
      <c r="K541" s="63"/>
      <c r="L541" s="63"/>
      <c r="M541" s="64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6"/>
      <c r="J542" s="63"/>
      <c r="K542" s="63"/>
      <c r="L542" s="63"/>
      <c r="M542" s="64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6"/>
      <c r="J543" s="63"/>
      <c r="K543" s="63"/>
      <c r="L543" s="63"/>
      <c r="M543" s="64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6"/>
      <c r="J544" s="63"/>
      <c r="K544" s="63"/>
      <c r="L544" s="63"/>
      <c r="M544" s="64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6"/>
      <c r="J545" s="63"/>
      <c r="K545" s="63"/>
      <c r="L545" s="63"/>
      <c r="M545" s="64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6"/>
      <c r="J546" s="63"/>
      <c r="K546" s="63"/>
      <c r="L546" s="63"/>
      <c r="M546" s="64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6"/>
      <c r="J547" s="63"/>
      <c r="K547" s="63"/>
      <c r="L547" s="63"/>
      <c r="M547" s="64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6"/>
      <c r="J548" s="63"/>
      <c r="K548" s="63"/>
      <c r="L548" s="63"/>
      <c r="M548" s="64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6"/>
      <c r="J549" s="63"/>
      <c r="K549" s="63"/>
      <c r="L549" s="63"/>
      <c r="M549" s="64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6"/>
      <c r="J550" s="63"/>
      <c r="K550" s="63"/>
      <c r="L550" s="63"/>
      <c r="M550" s="64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6"/>
      <c r="J551" s="63"/>
      <c r="K551" s="63"/>
      <c r="L551" s="63"/>
      <c r="M551" s="64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6"/>
      <c r="J552" s="63"/>
      <c r="K552" s="63"/>
      <c r="L552" s="63"/>
      <c r="M552" s="64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6"/>
      <c r="J553" s="63"/>
      <c r="K553" s="63"/>
      <c r="L553" s="63"/>
      <c r="M553" s="64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6"/>
      <c r="J554" s="63"/>
      <c r="K554" s="63"/>
      <c r="L554" s="63"/>
      <c r="M554" s="64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6"/>
      <c r="J555" s="63"/>
      <c r="K555" s="63"/>
      <c r="L555" s="63"/>
      <c r="M555" s="64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6"/>
      <c r="J556" s="63"/>
      <c r="K556" s="63"/>
      <c r="L556" s="63"/>
      <c r="M556" s="64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6"/>
      <c r="J557" s="63"/>
      <c r="K557" s="63"/>
      <c r="L557" s="63"/>
      <c r="M557" s="64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6"/>
      <c r="J558" s="63"/>
      <c r="K558" s="63"/>
      <c r="L558" s="63"/>
      <c r="M558" s="64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6"/>
      <c r="J559" s="63"/>
      <c r="K559" s="63"/>
      <c r="L559" s="63"/>
      <c r="M559" s="64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6"/>
      <c r="J560" s="63"/>
      <c r="K560" s="63"/>
      <c r="L560" s="63"/>
      <c r="M560" s="64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6"/>
      <c r="J561" s="63"/>
      <c r="K561" s="63"/>
      <c r="L561" s="63"/>
      <c r="M561" s="64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6"/>
      <c r="J562" s="63"/>
      <c r="K562" s="63"/>
      <c r="L562" s="63"/>
      <c r="M562" s="64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6"/>
      <c r="J563" s="63"/>
      <c r="K563" s="63"/>
      <c r="L563" s="63"/>
      <c r="M563" s="64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6"/>
      <c r="J564" s="63"/>
      <c r="K564" s="63"/>
      <c r="L564" s="63"/>
      <c r="M564" s="64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6"/>
      <c r="J565" s="63"/>
      <c r="K565" s="63"/>
      <c r="L565" s="63"/>
      <c r="M565" s="64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6"/>
      <c r="J566" s="63"/>
      <c r="K566" s="63"/>
      <c r="L566" s="63"/>
      <c r="M566" s="64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6"/>
      <c r="J567" s="63"/>
      <c r="K567" s="63"/>
      <c r="L567" s="63"/>
      <c r="M567" s="64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6"/>
      <c r="J568" s="63"/>
      <c r="K568" s="63"/>
      <c r="L568" s="63"/>
      <c r="M568" s="64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6"/>
      <c r="J569" s="63"/>
      <c r="K569" s="63"/>
      <c r="L569" s="63"/>
      <c r="M569" s="64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6"/>
      <c r="J570" s="63"/>
      <c r="K570" s="63"/>
      <c r="L570" s="63"/>
      <c r="M570" s="64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6"/>
      <c r="J571" s="63"/>
      <c r="K571" s="63"/>
      <c r="L571" s="63"/>
      <c r="M571" s="64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6"/>
      <c r="J572" s="63"/>
      <c r="K572" s="63"/>
      <c r="L572" s="63"/>
      <c r="M572" s="64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6"/>
      <c r="J573" s="63"/>
      <c r="K573" s="63"/>
      <c r="L573" s="63"/>
      <c r="M573" s="64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6"/>
      <c r="J574" s="63"/>
      <c r="K574" s="63"/>
      <c r="L574" s="63"/>
      <c r="M574" s="64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6"/>
      <c r="J575" s="63"/>
      <c r="K575" s="63"/>
      <c r="L575" s="63"/>
      <c r="M575" s="64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6"/>
      <c r="J576" s="63"/>
      <c r="K576" s="63"/>
      <c r="L576" s="63"/>
      <c r="M576" s="64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6"/>
      <c r="J577" s="63"/>
      <c r="K577" s="63"/>
      <c r="L577" s="63"/>
      <c r="M577" s="64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6"/>
      <c r="J578" s="63"/>
      <c r="K578" s="63"/>
      <c r="L578" s="63"/>
      <c r="M578" s="64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6"/>
      <c r="J579" s="63"/>
      <c r="K579" s="63"/>
      <c r="L579" s="63"/>
      <c r="M579" s="64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6"/>
      <c r="J580" s="63"/>
      <c r="K580" s="63"/>
      <c r="L580" s="63"/>
      <c r="M580" s="64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6"/>
      <c r="J581" s="63"/>
      <c r="K581" s="63"/>
      <c r="L581" s="63"/>
      <c r="M581" s="64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6"/>
      <c r="J582" s="63"/>
      <c r="K582" s="63"/>
      <c r="L582" s="63"/>
      <c r="M582" s="64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6"/>
      <c r="J583" s="63"/>
      <c r="K583" s="63"/>
      <c r="L583" s="63"/>
      <c r="M583" s="64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6"/>
      <c r="J584" s="63"/>
      <c r="K584" s="63"/>
      <c r="L584" s="63"/>
      <c r="M584" s="64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6"/>
      <c r="J585" s="63"/>
      <c r="K585" s="63"/>
      <c r="L585" s="63"/>
      <c r="M585" s="64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6"/>
      <c r="J586" s="63"/>
      <c r="K586" s="63"/>
      <c r="L586" s="63"/>
      <c r="M586" s="64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6"/>
      <c r="J587" s="63"/>
      <c r="K587" s="63"/>
      <c r="L587" s="63"/>
      <c r="M587" s="64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6"/>
      <c r="J588" s="63"/>
      <c r="K588" s="63"/>
      <c r="L588" s="63"/>
      <c r="M588" s="64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6"/>
      <c r="J589" s="63"/>
      <c r="K589" s="63"/>
      <c r="L589" s="63"/>
      <c r="M589" s="64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6"/>
      <c r="J590" s="63"/>
      <c r="K590" s="63"/>
      <c r="L590" s="63"/>
      <c r="M590" s="64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6"/>
      <c r="J591" s="63"/>
      <c r="K591" s="63"/>
      <c r="L591" s="63"/>
      <c r="M591" s="64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6"/>
      <c r="J592" s="63"/>
      <c r="K592" s="63"/>
      <c r="L592" s="63"/>
      <c r="M592" s="64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6"/>
      <c r="J593" s="63"/>
      <c r="K593" s="63"/>
      <c r="L593" s="63"/>
      <c r="M593" s="64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6"/>
      <c r="J594" s="63"/>
      <c r="K594" s="63"/>
      <c r="L594" s="63"/>
      <c r="M594" s="64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6"/>
      <c r="J595" s="63"/>
      <c r="K595" s="63"/>
      <c r="L595" s="63"/>
      <c r="M595" s="64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6"/>
      <c r="J596" s="63"/>
      <c r="K596" s="63"/>
      <c r="L596" s="63"/>
      <c r="M596" s="64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6"/>
      <c r="J597" s="63"/>
      <c r="K597" s="63"/>
      <c r="L597" s="63"/>
      <c r="M597" s="64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6"/>
      <c r="J598" s="63"/>
      <c r="K598" s="63"/>
      <c r="L598" s="63"/>
      <c r="M598" s="64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6"/>
      <c r="J599" s="63"/>
      <c r="K599" s="63"/>
      <c r="L599" s="63"/>
      <c r="M599" s="64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6"/>
      <c r="J600" s="63"/>
      <c r="K600" s="63"/>
      <c r="L600" s="63"/>
      <c r="M600" s="64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6"/>
      <c r="J601" s="63"/>
      <c r="K601" s="63"/>
      <c r="L601" s="63"/>
      <c r="M601" s="64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6"/>
      <c r="J602" s="63"/>
      <c r="K602" s="63"/>
      <c r="L602" s="63"/>
      <c r="M602" s="64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6"/>
      <c r="J603" s="63"/>
      <c r="K603" s="63"/>
      <c r="L603" s="63"/>
      <c r="M603" s="64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6"/>
      <c r="J604" s="63"/>
      <c r="K604" s="63"/>
      <c r="L604" s="63"/>
      <c r="M604" s="64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6"/>
      <c r="J605" s="63"/>
      <c r="K605" s="63"/>
      <c r="L605" s="63"/>
      <c r="M605" s="64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6"/>
      <c r="J606" s="63"/>
      <c r="K606" s="63"/>
      <c r="L606" s="63"/>
      <c r="M606" s="64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6"/>
      <c r="J607" s="63"/>
      <c r="K607" s="63"/>
      <c r="L607" s="63"/>
      <c r="M607" s="64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6"/>
      <c r="J608" s="63"/>
      <c r="K608" s="63"/>
      <c r="L608" s="63"/>
      <c r="M608" s="64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6"/>
      <c r="J609" s="63"/>
      <c r="K609" s="63"/>
      <c r="L609" s="63"/>
      <c r="M609" s="64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6"/>
      <c r="J610" s="63"/>
      <c r="K610" s="63"/>
      <c r="L610" s="63"/>
      <c r="M610" s="64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6"/>
      <c r="J611" s="63"/>
      <c r="K611" s="63"/>
      <c r="L611" s="63"/>
      <c r="M611" s="64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6"/>
      <c r="J612" s="63"/>
      <c r="K612" s="63"/>
      <c r="L612" s="63"/>
      <c r="M612" s="64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6"/>
      <c r="J613" s="63"/>
      <c r="K613" s="63"/>
      <c r="L613" s="63"/>
      <c r="M613" s="64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6"/>
      <c r="J614" s="63"/>
      <c r="K614" s="63"/>
      <c r="L614" s="63"/>
      <c r="M614" s="64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6"/>
      <c r="J615" s="63"/>
      <c r="K615" s="63"/>
      <c r="L615" s="63"/>
      <c r="M615" s="64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6"/>
      <c r="J616" s="63"/>
      <c r="K616" s="63"/>
      <c r="L616" s="63"/>
      <c r="M616" s="64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6"/>
      <c r="J617" s="63"/>
      <c r="K617" s="63"/>
      <c r="L617" s="63"/>
      <c r="M617" s="64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6"/>
      <c r="J618" s="63"/>
      <c r="K618" s="63"/>
      <c r="L618" s="63"/>
      <c r="M618" s="64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6"/>
      <c r="J619" s="63"/>
      <c r="K619" s="63"/>
      <c r="L619" s="63"/>
      <c r="M619" s="64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6"/>
      <c r="J620" s="63"/>
      <c r="K620" s="63"/>
      <c r="L620" s="63"/>
      <c r="M620" s="64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6"/>
      <c r="J621" s="63"/>
      <c r="K621" s="63"/>
      <c r="L621" s="63"/>
      <c r="M621" s="64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6"/>
      <c r="J622" s="63"/>
      <c r="K622" s="63"/>
      <c r="L622" s="63"/>
      <c r="M622" s="64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6"/>
      <c r="J623" s="63"/>
      <c r="K623" s="63"/>
      <c r="L623" s="63"/>
      <c r="M623" s="64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6"/>
      <c r="J624" s="63"/>
      <c r="K624" s="63"/>
      <c r="L624" s="63"/>
      <c r="M624" s="64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6"/>
      <c r="J625" s="63"/>
      <c r="K625" s="63"/>
      <c r="L625" s="63"/>
      <c r="M625" s="64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6"/>
      <c r="J626" s="63"/>
      <c r="K626" s="63"/>
      <c r="L626" s="63"/>
      <c r="M626" s="64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6"/>
      <c r="J627" s="63"/>
      <c r="K627" s="63"/>
      <c r="L627" s="63"/>
      <c r="M627" s="64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6"/>
      <c r="J628" s="63"/>
      <c r="K628" s="63"/>
      <c r="L628" s="63"/>
      <c r="M628" s="64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6"/>
      <c r="J629" s="63"/>
      <c r="K629" s="63"/>
      <c r="L629" s="63"/>
      <c r="M629" s="64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6"/>
      <c r="J630" s="63"/>
      <c r="K630" s="63"/>
      <c r="L630" s="63"/>
      <c r="M630" s="64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6"/>
      <c r="J631" s="63"/>
      <c r="K631" s="63"/>
      <c r="L631" s="63"/>
      <c r="M631" s="64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6"/>
      <c r="J632" s="63"/>
      <c r="K632" s="63"/>
      <c r="L632" s="63"/>
      <c r="M632" s="64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6"/>
      <c r="J633" s="63"/>
      <c r="K633" s="63"/>
      <c r="L633" s="63"/>
      <c r="M633" s="64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6"/>
      <c r="J634" s="63"/>
      <c r="K634" s="63"/>
      <c r="L634" s="63"/>
      <c r="M634" s="64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6"/>
      <c r="J635" s="63"/>
      <c r="K635" s="63"/>
      <c r="L635" s="63"/>
      <c r="M635" s="64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6"/>
      <c r="J636" s="63"/>
      <c r="K636" s="63"/>
      <c r="L636" s="63"/>
      <c r="M636" s="64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6"/>
      <c r="J637" s="63"/>
      <c r="K637" s="63"/>
      <c r="L637" s="63"/>
      <c r="M637" s="64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6"/>
      <c r="J638" s="63"/>
      <c r="K638" s="63"/>
      <c r="L638" s="63"/>
      <c r="M638" s="64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6"/>
      <c r="J639" s="63"/>
      <c r="K639" s="63"/>
      <c r="L639" s="63"/>
      <c r="M639" s="64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6"/>
      <c r="J640" s="63"/>
      <c r="K640" s="63"/>
      <c r="L640" s="63"/>
      <c r="M640" s="64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6"/>
      <c r="J641" s="63"/>
      <c r="K641" s="63"/>
      <c r="L641" s="63"/>
      <c r="M641" s="64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6"/>
      <c r="J642" s="63"/>
      <c r="K642" s="63"/>
      <c r="L642" s="63"/>
      <c r="M642" s="64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6"/>
      <c r="J643" s="63"/>
      <c r="K643" s="63"/>
      <c r="L643" s="63"/>
      <c r="M643" s="64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6"/>
      <c r="J644" s="63"/>
      <c r="K644" s="63"/>
      <c r="L644" s="63"/>
      <c r="M644" s="64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6"/>
      <c r="J645" s="63"/>
      <c r="K645" s="63"/>
      <c r="L645" s="63"/>
      <c r="M645" s="64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6"/>
      <c r="J646" s="63"/>
      <c r="K646" s="63"/>
      <c r="L646" s="63"/>
      <c r="M646" s="64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6"/>
      <c r="J647" s="63"/>
      <c r="K647" s="63"/>
      <c r="L647" s="63"/>
      <c r="M647" s="64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6"/>
      <c r="J648" s="63"/>
      <c r="K648" s="63"/>
      <c r="L648" s="63"/>
      <c r="M648" s="64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6"/>
      <c r="J649" s="63"/>
      <c r="K649" s="63"/>
      <c r="L649" s="63"/>
      <c r="M649" s="64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6"/>
      <c r="J650" s="63"/>
      <c r="K650" s="63"/>
      <c r="L650" s="63"/>
      <c r="M650" s="64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6"/>
      <c r="J651" s="63"/>
      <c r="K651" s="63"/>
      <c r="L651" s="63"/>
      <c r="M651" s="64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6"/>
      <c r="J652" s="63"/>
      <c r="K652" s="63"/>
      <c r="L652" s="63"/>
      <c r="M652" s="64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6"/>
      <c r="J653" s="63"/>
      <c r="K653" s="63"/>
      <c r="L653" s="63"/>
      <c r="M653" s="64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6"/>
      <c r="J654" s="63"/>
      <c r="K654" s="63"/>
      <c r="L654" s="63"/>
      <c r="M654" s="64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6"/>
      <c r="J655" s="63"/>
      <c r="K655" s="63"/>
      <c r="L655" s="63"/>
      <c r="M655" s="64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6"/>
      <c r="J656" s="63"/>
      <c r="K656" s="63"/>
      <c r="L656" s="63"/>
      <c r="M656" s="64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6"/>
      <c r="J657" s="63"/>
      <c r="K657" s="63"/>
      <c r="L657" s="63"/>
      <c r="M657" s="64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6"/>
      <c r="J658" s="63"/>
      <c r="K658" s="63"/>
      <c r="L658" s="63"/>
      <c r="M658" s="64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6"/>
      <c r="J659" s="63"/>
      <c r="K659" s="63"/>
      <c r="L659" s="63"/>
      <c r="M659" s="64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6"/>
      <c r="J660" s="63"/>
      <c r="K660" s="63"/>
      <c r="L660" s="63"/>
      <c r="M660" s="64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6"/>
      <c r="J661" s="63"/>
      <c r="K661" s="63"/>
      <c r="L661" s="63"/>
      <c r="M661" s="64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6"/>
      <c r="J662" s="63"/>
      <c r="K662" s="63"/>
      <c r="L662" s="63"/>
      <c r="M662" s="64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6"/>
      <c r="J663" s="63"/>
      <c r="K663" s="63"/>
      <c r="L663" s="63"/>
      <c r="M663" s="64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6"/>
      <c r="J664" s="63"/>
      <c r="K664" s="63"/>
      <c r="L664" s="63"/>
      <c r="M664" s="64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6"/>
      <c r="J665" s="63"/>
      <c r="K665" s="63"/>
      <c r="L665" s="63"/>
      <c r="M665" s="64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6"/>
      <c r="J666" s="63"/>
      <c r="K666" s="63"/>
      <c r="L666" s="63"/>
      <c r="M666" s="64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6"/>
      <c r="J667" s="63"/>
      <c r="K667" s="63"/>
      <c r="L667" s="63"/>
      <c r="M667" s="64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6"/>
      <c r="J668" s="63"/>
      <c r="K668" s="63"/>
      <c r="L668" s="63"/>
      <c r="M668" s="64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6"/>
      <c r="J669" s="63"/>
      <c r="K669" s="63"/>
      <c r="L669" s="63"/>
      <c r="M669" s="64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6"/>
      <c r="J670" s="63"/>
      <c r="K670" s="63"/>
      <c r="L670" s="63"/>
      <c r="M670" s="64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6"/>
      <c r="J671" s="63"/>
      <c r="K671" s="63"/>
      <c r="L671" s="63"/>
      <c r="M671" s="64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6"/>
      <c r="J672" s="63"/>
      <c r="K672" s="63"/>
      <c r="L672" s="63"/>
      <c r="M672" s="64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6"/>
      <c r="J673" s="63"/>
      <c r="K673" s="63"/>
      <c r="L673" s="63"/>
      <c r="M673" s="64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6"/>
      <c r="J674" s="63"/>
      <c r="K674" s="63"/>
      <c r="L674" s="63"/>
      <c r="M674" s="64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6"/>
      <c r="J675" s="63"/>
      <c r="K675" s="63"/>
      <c r="L675" s="63"/>
      <c r="M675" s="64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6"/>
      <c r="J676" s="63"/>
      <c r="K676" s="63"/>
      <c r="L676" s="63"/>
      <c r="M676" s="64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6"/>
      <c r="J677" s="63"/>
      <c r="K677" s="63"/>
      <c r="L677" s="63"/>
      <c r="M677" s="64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6"/>
      <c r="J678" s="63"/>
      <c r="K678" s="63"/>
      <c r="L678" s="63"/>
      <c r="M678" s="64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6"/>
      <c r="J679" s="63"/>
      <c r="K679" s="63"/>
      <c r="L679" s="63"/>
      <c r="M679" s="64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6"/>
      <c r="J680" s="63"/>
      <c r="K680" s="63"/>
      <c r="L680" s="63"/>
      <c r="M680" s="64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6"/>
      <c r="J681" s="63"/>
      <c r="K681" s="63"/>
      <c r="L681" s="63"/>
      <c r="M681" s="64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6"/>
      <c r="J682" s="63"/>
      <c r="K682" s="63"/>
      <c r="L682" s="63"/>
      <c r="M682" s="64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6"/>
      <c r="J683" s="63"/>
      <c r="K683" s="63"/>
      <c r="L683" s="63"/>
      <c r="M683" s="64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6"/>
      <c r="J684" s="63"/>
      <c r="K684" s="63"/>
      <c r="L684" s="63"/>
      <c r="M684" s="64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6"/>
      <c r="J685" s="63"/>
      <c r="K685" s="63"/>
      <c r="L685" s="63"/>
      <c r="M685" s="64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6"/>
      <c r="J686" s="63"/>
      <c r="K686" s="63"/>
      <c r="L686" s="63"/>
      <c r="M686" s="64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6"/>
      <c r="J687" s="63"/>
      <c r="K687" s="63"/>
      <c r="L687" s="63"/>
      <c r="M687" s="64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6"/>
      <c r="J688" s="63"/>
      <c r="K688" s="63"/>
      <c r="L688" s="63"/>
      <c r="M688" s="64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6"/>
      <c r="J689" s="63"/>
      <c r="K689" s="63"/>
      <c r="L689" s="63"/>
      <c r="M689" s="64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6"/>
      <c r="J690" s="63"/>
      <c r="K690" s="63"/>
      <c r="L690" s="63"/>
      <c r="M690" s="64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6"/>
      <c r="J691" s="63"/>
      <c r="K691" s="63"/>
      <c r="L691" s="63"/>
      <c r="M691" s="64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6"/>
      <c r="J692" s="63"/>
      <c r="K692" s="63"/>
      <c r="L692" s="63"/>
      <c r="M692" s="64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6"/>
      <c r="J693" s="63"/>
      <c r="K693" s="63"/>
      <c r="L693" s="63"/>
      <c r="M693" s="64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6"/>
      <c r="J694" s="63"/>
      <c r="K694" s="63"/>
      <c r="L694" s="63"/>
      <c r="M694" s="64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6"/>
      <c r="J695" s="63"/>
      <c r="K695" s="63"/>
      <c r="L695" s="63"/>
      <c r="M695" s="64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6"/>
      <c r="J696" s="63"/>
      <c r="K696" s="63"/>
      <c r="L696" s="63"/>
      <c r="M696" s="64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6"/>
      <c r="J697" s="63"/>
      <c r="K697" s="63"/>
      <c r="L697" s="63"/>
      <c r="M697" s="64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6"/>
      <c r="J698" s="63"/>
      <c r="K698" s="63"/>
      <c r="L698" s="63"/>
      <c r="M698" s="64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6"/>
      <c r="J699" s="63"/>
      <c r="K699" s="63"/>
      <c r="L699" s="63"/>
      <c r="M699" s="64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6"/>
      <c r="J700" s="63"/>
      <c r="K700" s="63"/>
      <c r="L700" s="63"/>
      <c r="M700" s="64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6"/>
      <c r="J701" s="63"/>
      <c r="K701" s="63"/>
      <c r="L701" s="63"/>
      <c r="M701" s="64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6"/>
      <c r="J702" s="63"/>
      <c r="K702" s="63"/>
      <c r="L702" s="63"/>
      <c r="M702" s="64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6"/>
      <c r="J703" s="63"/>
      <c r="K703" s="63"/>
      <c r="L703" s="63"/>
      <c r="M703" s="64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6"/>
      <c r="J704" s="63"/>
      <c r="K704" s="63"/>
      <c r="L704" s="63"/>
      <c r="M704" s="64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6"/>
      <c r="J705" s="63"/>
      <c r="K705" s="63"/>
      <c r="L705" s="63"/>
      <c r="M705" s="64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6"/>
      <c r="J706" s="63"/>
      <c r="K706" s="63"/>
      <c r="L706" s="63"/>
      <c r="M706" s="64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6"/>
      <c r="J707" s="63"/>
      <c r="K707" s="63"/>
      <c r="L707" s="63"/>
      <c r="M707" s="64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6"/>
      <c r="J708" s="63"/>
      <c r="K708" s="63"/>
      <c r="L708" s="63"/>
      <c r="M708" s="64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6"/>
      <c r="J709" s="63"/>
      <c r="K709" s="63"/>
      <c r="L709" s="63"/>
      <c r="M709" s="64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6"/>
      <c r="J710" s="63"/>
      <c r="K710" s="63"/>
      <c r="L710" s="63"/>
      <c r="M710" s="64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6"/>
      <c r="J711" s="63"/>
      <c r="K711" s="63"/>
      <c r="L711" s="63"/>
      <c r="M711" s="64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6"/>
      <c r="J712" s="63"/>
      <c r="K712" s="63"/>
      <c r="L712" s="63"/>
      <c r="M712" s="64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6"/>
      <c r="J713" s="63"/>
      <c r="K713" s="63"/>
      <c r="L713" s="63"/>
      <c r="M713" s="64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6"/>
      <c r="J714" s="63"/>
      <c r="K714" s="63"/>
      <c r="L714" s="63"/>
      <c r="M714" s="64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6"/>
      <c r="J715" s="63"/>
      <c r="K715" s="63"/>
      <c r="L715" s="63"/>
      <c r="M715" s="64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6"/>
      <c r="J716" s="63"/>
      <c r="K716" s="63"/>
      <c r="L716" s="63"/>
      <c r="M716" s="64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6"/>
      <c r="J717" s="63"/>
      <c r="K717" s="63"/>
      <c r="L717" s="63"/>
      <c r="M717" s="64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6"/>
      <c r="J718" s="63"/>
      <c r="K718" s="63"/>
      <c r="L718" s="63"/>
      <c r="M718" s="64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6"/>
      <c r="J719" s="63"/>
      <c r="K719" s="63"/>
      <c r="L719" s="63"/>
      <c r="M719" s="64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6"/>
      <c r="J720" s="63"/>
      <c r="K720" s="63"/>
      <c r="L720" s="63"/>
      <c r="M720" s="64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6"/>
      <c r="J721" s="63"/>
      <c r="K721" s="63"/>
      <c r="L721" s="63"/>
      <c r="M721" s="64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6"/>
      <c r="J722" s="63"/>
      <c r="K722" s="63"/>
      <c r="L722" s="63"/>
      <c r="M722" s="64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6"/>
      <c r="J723" s="63"/>
      <c r="K723" s="63"/>
      <c r="L723" s="63"/>
      <c r="M723" s="64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6"/>
      <c r="J724" s="63"/>
      <c r="K724" s="63"/>
      <c r="L724" s="63"/>
      <c r="M724" s="64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6"/>
      <c r="J725" s="63"/>
      <c r="K725" s="63"/>
      <c r="L725" s="63"/>
      <c r="M725" s="64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6"/>
      <c r="J726" s="63"/>
      <c r="K726" s="63"/>
      <c r="L726" s="63"/>
      <c r="M726" s="64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6"/>
      <c r="J727" s="63"/>
      <c r="K727" s="63"/>
      <c r="L727" s="63"/>
      <c r="M727" s="64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6"/>
      <c r="J728" s="63"/>
      <c r="K728" s="63"/>
      <c r="L728" s="63"/>
      <c r="M728" s="64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6"/>
      <c r="J729" s="63"/>
      <c r="K729" s="63"/>
      <c r="L729" s="63"/>
      <c r="M729" s="64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6"/>
      <c r="J730" s="63"/>
      <c r="K730" s="63"/>
      <c r="L730" s="63"/>
      <c r="M730" s="64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6"/>
      <c r="J731" s="63"/>
      <c r="K731" s="63"/>
      <c r="L731" s="63"/>
      <c r="M731" s="64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6"/>
      <c r="J732" s="63"/>
      <c r="K732" s="63"/>
      <c r="L732" s="63"/>
      <c r="M732" s="64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6"/>
      <c r="J733" s="63"/>
      <c r="K733" s="63"/>
      <c r="L733" s="63"/>
      <c r="M733" s="64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6"/>
      <c r="J734" s="63"/>
      <c r="K734" s="63"/>
      <c r="L734" s="63"/>
      <c r="M734" s="64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6"/>
      <c r="J735" s="63"/>
      <c r="K735" s="63"/>
      <c r="L735" s="63"/>
      <c r="M735" s="64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6"/>
      <c r="J736" s="63"/>
      <c r="K736" s="63"/>
      <c r="L736" s="63"/>
      <c r="M736" s="64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6"/>
      <c r="J737" s="63"/>
      <c r="K737" s="63"/>
      <c r="L737" s="63"/>
      <c r="M737" s="64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6"/>
      <c r="J738" s="63"/>
      <c r="K738" s="63"/>
      <c r="L738" s="63"/>
      <c r="M738" s="64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6"/>
      <c r="J739" s="63"/>
      <c r="K739" s="63"/>
      <c r="L739" s="63"/>
      <c r="M739" s="64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6"/>
      <c r="J740" s="63"/>
      <c r="K740" s="63"/>
      <c r="L740" s="63"/>
      <c r="M740" s="64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6"/>
      <c r="J741" s="63"/>
      <c r="K741" s="63"/>
      <c r="L741" s="63"/>
      <c r="M741" s="64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6"/>
      <c r="J742" s="63"/>
      <c r="K742" s="63"/>
      <c r="L742" s="63"/>
      <c r="M742" s="64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6"/>
      <c r="J743" s="63"/>
      <c r="K743" s="63"/>
      <c r="L743" s="63"/>
      <c r="M743" s="64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6"/>
      <c r="J744" s="63"/>
      <c r="K744" s="63"/>
      <c r="L744" s="63"/>
      <c r="M744" s="64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6"/>
      <c r="J745" s="63"/>
      <c r="K745" s="63"/>
      <c r="L745" s="63"/>
      <c r="M745" s="64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6"/>
      <c r="J746" s="63"/>
      <c r="K746" s="63"/>
      <c r="L746" s="63"/>
      <c r="M746" s="64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6"/>
      <c r="J747" s="63"/>
      <c r="K747" s="63"/>
      <c r="L747" s="63"/>
      <c r="M747" s="64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6"/>
      <c r="J748" s="63"/>
      <c r="K748" s="63"/>
      <c r="L748" s="63"/>
      <c r="M748" s="64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6"/>
      <c r="J749" s="63"/>
      <c r="K749" s="63"/>
      <c r="L749" s="63"/>
      <c r="M749" s="64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6"/>
      <c r="J750" s="63"/>
      <c r="K750" s="63"/>
      <c r="L750" s="63"/>
      <c r="M750" s="64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6"/>
      <c r="J751" s="63"/>
      <c r="K751" s="63"/>
      <c r="L751" s="63"/>
      <c r="M751" s="64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6"/>
      <c r="J752" s="63"/>
      <c r="K752" s="63"/>
      <c r="L752" s="63"/>
      <c r="M752" s="64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6"/>
      <c r="J753" s="63"/>
      <c r="K753" s="63"/>
      <c r="L753" s="63"/>
      <c r="M753" s="64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6"/>
      <c r="J754" s="63"/>
      <c r="K754" s="63"/>
      <c r="L754" s="63"/>
      <c r="M754" s="64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6"/>
      <c r="J755" s="63"/>
      <c r="K755" s="63"/>
      <c r="L755" s="63"/>
      <c r="M755" s="64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6"/>
      <c r="J756" s="63"/>
      <c r="K756" s="63"/>
      <c r="L756" s="63"/>
      <c r="M756" s="64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6"/>
      <c r="J757" s="63"/>
      <c r="K757" s="63"/>
      <c r="L757" s="63"/>
      <c r="M757" s="64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6"/>
      <c r="J758" s="63"/>
      <c r="K758" s="63"/>
      <c r="L758" s="63"/>
      <c r="M758" s="64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6"/>
      <c r="J759" s="63"/>
      <c r="K759" s="63"/>
      <c r="L759" s="63"/>
      <c r="M759" s="64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6"/>
      <c r="J760" s="63"/>
      <c r="K760" s="63"/>
      <c r="L760" s="63"/>
      <c r="M760" s="64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6"/>
      <c r="J761" s="63"/>
      <c r="K761" s="63"/>
      <c r="L761" s="63"/>
      <c r="M761" s="64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6"/>
      <c r="J762" s="63"/>
      <c r="K762" s="63"/>
      <c r="L762" s="63"/>
      <c r="M762" s="64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6"/>
      <c r="J763" s="63"/>
      <c r="K763" s="63"/>
      <c r="L763" s="63"/>
      <c r="M763" s="64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6"/>
      <c r="J764" s="63"/>
      <c r="K764" s="63"/>
      <c r="L764" s="63"/>
      <c r="M764" s="64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6"/>
      <c r="J765" s="63"/>
      <c r="K765" s="63"/>
      <c r="L765" s="63"/>
      <c r="M765" s="64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6"/>
      <c r="J766" s="63"/>
      <c r="K766" s="63"/>
      <c r="L766" s="63"/>
      <c r="M766" s="64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6"/>
      <c r="J767" s="63"/>
      <c r="K767" s="63"/>
      <c r="L767" s="63"/>
      <c r="M767" s="64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6"/>
      <c r="J768" s="63"/>
      <c r="K768" s="63"/>
      <c r="L768" s="63"/>
      <c r="M768" s="64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6"/>
      <c r="J769" s="63"/>
      <c r="K769" s="63"/>
      <c r="L769" s="63"/>
      <c r="M769" s="64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6"/>
      <c r="J770" s="63"/>
      <c r="K770" s="63"/>
      <c r="L770" s="63"/>
      <c r="M770" s="64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6"/>
      <c r="J771" s="63"/>
      <c r="K771" s="63"/>
      <c r="L771" s="63"/>
      <c r="M771" s="64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6"/>
      <c r="J772" s="63"/>
      <c r="K772" s="63"/>
      <c r="L772" s="63"/>
      <c r="M772" s="64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6"/>
      <c r="J773" s="63"/>
      <c r="K773" s="63"/>
      <c r="L773" s="63"/>
      <c r="M773" s="64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6"/>
      <c r="J774" s="63"/>
      <c r="K774" s="63"/>
      <c r="L774" s="63"/>
      <c r="M774" s="64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6"/>
      <c r="J775" s="63"/>
      <c r="K775" s="63"/>
      <c r="L775" s="63"/>
      <c r="M775" s="64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6"/>
      <c r="J776" s="63"/>
      <c r="K776" s="63"/>
      <c r="L776" s="63"/>
      <c r="M776" s="64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6"/>
      <c r="J777" s="63"/>
      <c r="K777" s="63"/>
      <c r="L777" s="63"/>
      <c r="M777" s="64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6"/>
      <c r="J778" s="63"/>
      <c r="K778" s="63"/>
      <c r="L778" s="63"/>
      <c r="M778" s="64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6"/>
      <c r="J779" s="63"/>
      <c r="K779" s="63"/>
      <c r="L779" s="63"/>
      <c r="M779" s="64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6"/>
      <c r="J780" s="63"/>
      <c r="K780" s="63"/>
      <c r="L780" s="63"/>
      <c r="M780" s="64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6"/>
      <c r="J781" s="63"/>
      <c r="K781" s="63"/>
      <c r="L781" s="63"/>
      <c r="M781" s="64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6"/>
      <c r="J782" s="63"/>
      <c r="K782" s="63"/>
      <c r="L782" s="63"/>
      <c r="M782" s="64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6"/>
      <c r="J783" s="63"/>
      <c r="K783" s="63"/>
      <c r="L783" s="63"/>
      <c r="M783" s="64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6"/>
      <c r="J784" s="63"/>
      <c r="K784" s="63"/>
      <c r="L784" s="63"/>
      <c r="M784" s="64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6"/>
      <c r="J785" s="63"/>
      <c r="K785" s="63"/>
      <c r="L785" s="63"/>
      <c r="M785" s="64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6"/>
      <c r="J786" s="63"/>
      <c r="K786" s="63"/>
      <c r="L786" s="63"/>
      <c r="M786" s="64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6"/>
      <c r="J787" s="63"/>
      <c r="K787" s="63"/>
      <c r="L787" s="63"/>
      <c r="M787" s="64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6"/>
      <c r="J788" s="63"/>
      <c r="K788" s="63"/>
      <c r="L788" s="63"/>
      <c r="M788" s="64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6"/>
      <c r="J789" s="63"/>
      <c r="K789" s="63"/>
      <c r="L789" s="63"/>
      <c r="M789" s="64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6"/>
      <c r="J790" s="63"/>
      <c r="K790" s="63"/>
      <c r="L790" s="63"/>
      <c r="M790" s="64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6"/>
      <c r="J791" s="63"/>
      <c r="K791" s="63"/>
      <c r="L791" s="63"/>
      <c r="M791" s="64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6"/>
      <c r="J792" s="63"/>
      <c r="K792" s="63"/>
      <c r="L792" s="63"/>
      <c r="M792" s="64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6"/>
      <c r="J793" s="63"/>
      <c r="K793" s="63"/>
      <c r="L793" s="63"/>
      <c r="M793" s="64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6"/>
      <c r="J794" s="63"/>
      <c r="K794" s="63"/>
      <c r="L794" s="63"/>
      <c r="M794" s="64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6"/>
      <c r="J795" s="63"/>
      <c r="K795" s="63"/>
      <c r="L795" s="63"/>
      <c r="M795" s="64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6"/>
      <c r="J796" s="63"/>
      <c r="K796" s="63"/>
      <c r="L796" s="63"/>
      <c r="M796" s="64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6"/>
      <c r="J797" s="63"/>
      <c r="K797" s="63"/>
      <c r="L797" s="63"/>
      <c r="M797" s="64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6"/>
      <c r="J798" s="63"/>
      <c r="K798" s="63"/>
      <c r="L798" s="63"/>
      <c r="M798" s="64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6"/>
      <c r="J799" s="63"/>
      <c r="K799" s="63"/>
      <c r="L799" s="63"/>
      <c r="M799" s="64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6"/>
      <c r="J800" s="63"/>
      <c r="K800" s="63"/>
      <c r="L800" s="63"/>
      <c r="M800" s="64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6"/>
      <c r="J801" s="63"/>
      <c r="K801" s="63"/>
      <c r="L801" s="63"/>
      <c r="M801" s="64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6"/>
      <c r="J802" s="63"/>
      <c r="K802" s="63"/>
      <c r="L802" s="63"/>
      <c r="M802" s="64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6"/>
      <c r="J803" s="63"/>
      <c r="K803" s="63"/>
      <c r="L803" s="63"/>
      <c r="M803" s="64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6"/>
      <c r="J804" s="63"/>
      <c r="K804" s="63"/>
      <c r="L804" s="63"/>
      <c r="M804" s="64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6"/>
      <c r="J805" s="63"/>
      <c r="K805" s="63"/>
      <c r="L805" s="63"/>
      <c r="M805" s="64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6"/>
      <c r="J806" s="63"/>
      <c r="K806" s="63"/>
      <c r="L806" s="63"/>
      <c r="M806" s="64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6"/>
      <c r="J807" s="63"/>
      <c r="K807" s="63"/>
      <c r="L807" s="63"/>
      <c r="M807" s="64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6"/>
      <c r="J808" s="63"/>
      <c r="K808" s="63"/>
      <c r="L808" s="63"/>
      <c r="M808" s="64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6"/>
      <c r="J809" s="63"/>
      <c r="K809" s="63"/>
      <c r="L809" s="63"/>
      <c r="M809" s="64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6"/>
      <c r="J810" s="63"/>
      <c r="K810" s="63"/>
      <c r="L810" s="63"/>
      <c r="M810" s="64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6"/>
      <c r="J811" s="63"/>
      <c r="K811" s="63"/>
      <c r="L811" s="63"/>
      <c r="M811" s="64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6"/>
      <c r="J812" s="63"/>
      <c r="K812" s="63"/>
      <c r="L812" s="63"/>
      <c r="M812" s="64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6"/>
      <c r="J813" s="63"/>
      <c r="K813" s="63"/>
      <c r="L813" s="63"/>
      <c r="M813" s="64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6"/>
      <c r="J814" s="63"/>
      <c r="K814" s="63"/>
      <c r="L814" s="63"/>
      <c r="M814" s="64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6"/>
      <c r="J815" s="63"/>
      <c r="K815" s="63"/>
      <c r="L815" s="63"/>
      <c r="M815" s="64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6"/>
      <c r="J816" s="63"/>
      <c r="K816" s="63"/>
      <c r="L816" s="63"/>
      <c r="M816" s="64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6"/>
      <c r="J817" s="63"/>
      <c r="K817" s="63"/>
      <c r="L817" s="63"/>
      <c r="M817" s="64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6"/>
      <c r="J818" s="63"/>
      <c r="K818" s="63"/>
      <c r="L818" s="63"/>
      <c r="M818" s="64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6"/>
      <c r="J819" s="63"/>
      <c r="K819" s="63"/>
      <c r="L819" s="63"/>
      <c r="M819" s="64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6"/>
      <c r="J820" s="63"/>
      <c r="K820" s="63"/>
      <c r="L820" s="63"/>
      <c r="M820" s="64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6"/>
      <c r="J821" s="63"/>
      <c r="K821" s="63"/>
      <c r="L821" s="63"/>
      <c r="M821" s="64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6"/>
      <c r="J822" s="63"/>
      <c r="K822" s="63"/>
      <c r="L822" s="63"/>
      <c r="M822" s="64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6"/>
      <c r="J823" s="63"/>
      <c r="K823" s="63"/>
      <c r="L823" s="63"/>
      <c r="M823" s="64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6"/>
      <c r="J824" s="63"/>
      <c r="K824" s="63"/>
      <c r="L824" s="63"/>
      <c r="M824" s="64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6"/>
      <c r="J825" s="63"/>
      <c r="K825" s="63"/>
      <c r="L825" s="63"/>
      <c r="M825" s="64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6"/>
      <c r="J826" s="63"/>
      <c r="K826" s="63"/>
      <c r="L826" s="63"/>
      <c r="M826" s="64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6"/>
      <c r="J827" s="63"/>
      <c r="K827" s="63"/>
      <c r="L827" s="63"/>
      <c r="M827" s="64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6"/>
      <c r="J828" s="63"/>
      <c r="K828" s="63"/>
      <c r="L828" s="63"/>
      <c r="M828" s="64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6"/>
      <c r="J829" s="63"/>
      <c r="K829" s="63"/>
      <c r="L829" s="63"/>
      <c r="M829" s="64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6"/>
      <c r="J830" s="63"/>
      <c r="K830" s="63"/>
      <c r="L830" s="63"/>
      <c r="M830" s="64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6"/>
      <c r="J831" s="63"/>
      <c r="K831" s="63"/>
      <c r="L831" s="63"/>
      <c r="M831" s="64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6"/>
      <c r="J832" s="63"/>
      <c r="K832" s="63"/>
      <c r="L832" s="63"/>
      <c r="M832" s="64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6"/>
      <c r="J833" s="63"/>
      <c r="K833" s="63"/>
      <c r="L833" s="63"/>
      <c r="M833" s="64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6"/>
      <c r="J834" s="63"/>
      <c r="K834" s="63"/>
      <c r="L834" s="63"/>
      <c r="M834" s="64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6"/>
      <c r="J835" s="63"/>
      <c r="K835" s="63"/>
      <c r="L835" s="63"/>
      <c r="M835" s="64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6"/>
      <c r="J836" s="63"/>
      <c r="K836" s="63"/>
      <c r="L836" s="63"/>
      <c r="M836" s="64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6"/>
      <c r="J837" s="63"/>
      <c r="K837" s="63"/>
      <c r="L837" s="63"/>
      <c r="M837" s="64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6"/>
      <c r="J838" s="63"/>
      <c r="K838" s="63"/>
      <c r="L838" s="63"/>
      <c r="M838" s="64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6"/>
      <c r="J839" s="63"/>
      <c r="K839" s="63"/>
      <c r="L839" s="63"/>
      <c r="M839" s="64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6"/>
      <c r="J840" s="63"/>
      <c r="K840" s="63"/>
      <c r="L840" s="63"/>
      <c r="M840" s="64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6"/>
      <c r="J841" s="63"/>
      <c r="K841" s="63"/>
      <c r="L841" s="63"/>
      <c r="M841" s="64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6"/>
      <c r="J842" s="63"/>
      <c r="K842" s="63"/>
      <c r="L842" s="63"/>
      <c r="M842" s="64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6"/>
      <c r="J843" s="63"/>
      <c r="K843" s="63"/>
      <c r="L843" s="63"/>
      <c r="M843" s="64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6"/>
      <c r="J844" s="63"/>
      <c r="K844" s="63"/>
      <c r="L844" s="63"/>
      <c r="M844" s="64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6"/>
      <c r="J845" s="63"/>
      <c r="K845" s="63"/>
      <c r="L845" s="63"/>
      <c r="M845" s="64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6"/>
      <c r="J846" s="63"/>
      <c r="K846" s="63"/>
      <c r="L846" s="63"/>
      <c r="M846" s="64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6"/>
      <c r="J847" s="63"/>
      <c r="K847" s="63"/>
      <c r="L847" s="63"/>
      <c r="M847" s="64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6"/>
      <c r="J848" s="63"/>
      <c r="K848" s="63"/>
      <c r="L848" s="63"/>
      <c r="M848" s="64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6"/>
      <c r="J849" s="63"/>
      <c r="K849" s="63"/>
      <c r="L849" s="63"/>
      <c r="M849" s="64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6"/>
      <c r="J850" s="63"/>
      <c r="K850" s="63"/>
      <c r="L850" s="63"/>
      <c r="M850" s="64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6"/>
      <c r="J851" s="63"/>
      <c r="K851" s="63"/>
      <c r="L851" s="63"/>
      <c r="M851" s="64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6"/>
      <c r="J852" s="63"/>
      <c r="K852" s="63"/>
      <c r="L852" s="63"/>
      <c r="M852" s="64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6"/>
      <c r="J853" s="63"/>
      <c r="K853" s="63"/>
      <c r="L853" s="63"/>
      <c r="M853" s="64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6"/>
      <c r="J854" s="63"/>
      <c r="K854" s="63"/>
      <c r="L854" s="63"/>
      <c r="M854" s="64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6"/>
      <c r="J855" s="63"/>
      <c r="K855" s="63"/>
      <c r="L855" s="63"/>
      <c r="M855" s="64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6"/>
      <c r="J856" s="63"/>
      <c r="K856" s="63"/>
      <c r="L856" s="63"/>
      <c r="M856" s="64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6"/>
      <c r="J857" s="63"/>
      <c r="K857" s="63"/>
      <c r="L857" s="63"/>
      <c r="M857" s="64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6"/>
      <c r="J858" s="63"/>
      <c r="K858" s="63"/>
      <c r="L858" s="63"/>
      <c r="M858" s="64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6"/>
      <c r="J859" s="63"/>
      <c r="K859" s="63"/>
      <c r="L859" s="63"/>
      <c r="M859" s="64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6"/>
      <c r="J860" s="63"/>
      <c r="K860" s="63"/>
      <c r="L860" s="63"/>
      <c r="M860" s="64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6"/>
      <c r="J861" s="63"/>
      <c r="K861" s="63"/>
      <c r="L861" s="63"/>
      <c r="M861" s="64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6"/>
      <c r="J862" s="63"/>
      <c r="K862" s="63"/>
      <c r="L862" s="63"/>
      <c r="M862" s="64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6"/>
      <c r="J863" s="63"/>
      <c r="K863" s="63"/>
      <c r="L863" s="63"/>
      <c r="M863" s="64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6"/>
      <c r="J864" s="63"/>
      <c r="K864" s="63"/>
      <c r="L864" s="63"/>
      <c r="M864" s="64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6"/>
      <c r="J865" s="63"/>
      <c r="K865" s="63"/>
      <c r="L865" s="63"/>
      <c r="M865" s="64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6"/>
      <c r="J866" s="63"/>
      <c r="K866" s="63"/>
      <c r="L866" s="63"/>
      <c r="M866" s="64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6"/>
      <c r="J867" s="63"/>
      <c r="K867" s="63"/>
      <c r="L867" s="63"/>
      <c r="M867" s="64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6"/>
      <c r="J868" s="63"/>
      <c r="K868" s="63"/>
      <c r="L868" s="63"/>
      <c r="M868" s="64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6"/>
      <c r="J869" s="63"/>
      <c r="K869" s="63"/>
      <c r="L869" s="63"/>
      <c r="M869" s="64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6"/>
      <c r="J870" s="63"/>
      <c r="K870" s="63"/>
      <c r="L870" s="63"/>
      <c r="M870" s="64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6"/>
      <c r="J871" s="63"/>
      <c r="K871" s="63"/>
      <c r="L871" s="63"/>
      <c r="M871" s="64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6"/>
      <c r="J872" s="63"/>
      <c r="K872" s="63"/>
      <c r="L872" s="63"/>
      <c r="M872" s="64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6"/>
      <c r="J873" s="63"/>
      <c r="K873" s="63"/>
      <c r="L873" s="63"/>
      <c r="M873" s="64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6"/>
      <c r="J874" s="63"/>
      <c r="K874" s="63"/>
      <c r="L874" s="63"/>
      <c r="M874" s="64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6"/>
      <c r="J875" s="63"/>
      <c r="K875" s="63"/>
      <c r="L875" s="63"/>
      <c r="M875" s="64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6"/>
      <c r="J876" s="63"/>
      <c r="K876" s="63"/>
      <c r="L876" s="63"/>
      <c r="M876" s="64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6"/>
      <c r="J877" s="63"/>
      <c r="K877" s="63"/>
      <c r="L877" s="63"/>
      <c r="M877" s="64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6"/>
      <c r="J878" s="63"/>
      <c r="K878" s="63"/>
      <c r="L878" s="63"/>
      <c r="M878" s="64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6"/>
      <c r="J879" s="63"/>
      <c r="K879" s="63"/>
      <c r="L879" s="63"/>
      <c r="M879" s="64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6"/>
      <c r="J880" s="63"/>
      <c r="K880" s="63"/>
      <c r="L880" s="63"/>
      <c r="M880" s="64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6"/>
      <c r="J881" s="63"/>
      <c r="K881" s="63"/>
      <c r="L881" s="63"/>
      <c r="M881" s="64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6"/>
      <c r="J882" s="63"/>
      <c r="K882" s="63"/>
      <c r="L882" s="63"/>
      <c r="M882" s="64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6"/>
      <c r="J883" s="63"/>
      <c r="K883" s="63"/>
      <c r="L883" s="63"/>
      <c r="M883" s="64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6"/>
      <c r="J884" s="63"/>
      <c r="K884" s="63"/>
      <c r="L884" s="63"/>
      <c r="M884" s="64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6"/>
      <c r="J885" s="63"/>
      <c r="K885" s="63"/>
      <c r="L885" s="63"/>
      <c r="M885" s="64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6"/>
      <c r="J886" s="63"/>
      <c r="K886" s="63"/>
      <c r="L886" s="63"/>
      <c r="M886" s="64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6"/>
      <c r="J887" s="63"/>
      <c r="K887" s="63"/>
      <c r="L887" s="63"/>
      <c r="M887" s="64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6"/>
      <c r="J888" s="63"/>
      <c r="K888" s="63"/>
      <c r="L888" s="63"/>
      <c r="M888" s="64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6"/>
      <c r="J889" s="63"/>
      <c r="K889" s="63"/>
      <c r="L889" s="63"/>
      <c r="M889" s="64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6"/>
      <c r="J890" s="63"/>
      <c r="K890" s="63"/>
      <c r="L890" s="63"/>
      <c r="M890" s="64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6"/>
      <c r="J891" s="63"/>
      <c r="K891" s="63"/>
      <c r="L891" s="63"/>
      <c r="M891" s="64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6"/>
      <c r="J892" s="63"/>
      <c r="K892" s="63"/>
      <c r="L892" s="63"/>
      <c r="M892" s="64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6"/>
      <c r="J893" s="63"/>
      <c r="K893" s="63"/>
      <c r="L893" s="63"/>
      <c r="M893" s="64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6"/>
      <c r="J894" s="63"/>
      <c r="K894" s="63"/>
      <c r="L894" s="63"/>
      <c r="M894" s="64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6"/>
      <c r="J895" s="63"/>
      <c r="K895" s="63"/>
      <c r="L895" s="63"/>
      <c r="M895" s="64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6"/>
      <c r="J896" s="63"/>
      <c r="K896" s="63"/>
      <c r="L896" s="63"/>
      <c r="M896" s="64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6"/>
      <c r="J897" s="63"/>
      <c r="K897" s="63"/>
      <c r="L897" s="63"/>
      <c r="M897" s="64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6"/>
      <c r="J898" s="63"/>
      <c r="K898" s="63"/>
      <c r="L898" s="63"/>
      <c r="M898" s="64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6"/>
      <c r="J899" s="63"/>
      <c r="K899" s="63"/>
      <c r="L899" s="63"/>
      <c r="M899" s="64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6"/>
      <c r="J900" s="63"/>
      <c r="K900" s="63"/>
      <c r="L900" s="63"/>
      <c r="M900" s="64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6"/>
      <c r="J901" s="63"/>
      <c r="K901" s="63"/>
      <c r="L901" s="63"/>
      <c r="M901" s="64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6"/>
      <c r="J902" s="63"/>
      <c r="K902" s="63"/>
      <c r="L902" s="63"/>
      <c r="M902" s="64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6"/>
      <c r="J903" s="63"/>
      <c r="K903" s="63"/>
      <c r="L903" s="63"/>
      <c r="M903" s="64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6"/>
      <c r="J904" s="63"/>
      <c r="K904" s="63"/>
      <c r="L904" s="63"/>
      <c r="M904" s="64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6"/>
      <c r="J905" s="63"/>
      <c r="K905" s="63"/>
      <c r="L905" s="63"/>
      <c r="M905" s="64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6"/>
      <c r="J906" s="63"/>
      <c r="K906" s="63"/>
      <c r="L906" s="63"/>
      <c r="M906" s="64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6"/>
      <c r="J907" s="63"/>
      <c r="K907" s="63"/>
      <c r="L907" s="63"/>
      <c r="M907" s="64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6"/>
      <c r="J908" s="63"/>
      <c r="K908" s="63"/>
      <c r="L908" s="63"/>
      <c r="M908" s="64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6"/>
      <c r="J909" s="63"/>
      <c r="K909" s="63"/>
      <c r="L909" s="63"/>
      <c r="M909" s="64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6"/>
      <c r="J910" s="63"/>
      <c r="K910" s="63"/>
      <c r="L910" s="63"/>
      <c r="M910" s="64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6"/>
      <c r="J911" s="63"/>
      <c r="K911" s="63"/>
      <c r="L911" s="63"/>
      <c r="M911" s="64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6"/>
      <c r="J912" s="63"/>
      <c r="K912" s="63"/>
      <c r="L912" s="63"/>
      <c r="M912" s="64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6"/>
      <c r="J913" s="63"/>
      <c r="K913" s="63"/>
      <c r="L913" s="63"/>
      <c r="M913" s="64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6"/>
      <c r="J914" s="63"/>
      <c r="K914" s="63"/>
      <c r="L914" s="63"/>
      <c r="M914" s="64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6"/>
      <c r="J915" s="63"/>
      <c r="K915" s="63"/>
      <c r="L915" s="63"/>
      <c r="M915" s="64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6"/>
      <c r="J916" s="63"/>
      <c r="K916" s="63"/>
      <c r="L916" s="63"/>
      <c r="M916" s="64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6"/>
      <c r="J917" s="63"/>
      <c r="K917" s="63"/>
      <c r="L917" s="63"/>
      <c r="M917" s="64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6"/>
      <c r="J918" s="63"/>
      <c r="K918" s="63"/>
      <c r="L918" s="63"/>
      <c r="M918" s="64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6"/>
      <c r="J919" s="63"/>
      <c r="K919" s="63"/>
      <c r="L919" s="63"/>
      <c r="M919" s="64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6"/>
      <c r="J920" s="63"/>
      <c r="K920" s="63"/>
      <c r="L920" s="63"/>
      <c r="M920" s="64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6"/>
      <c r="J921" s="63"/>
      <c r="K921" s="63"/>
      <c r="L921" s="63"/>
      <c r="M921" s="64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6"/>
      <c r="J922" s="63"/>
      <c r="K922" s="63"/>
      <c r="L922" s="63"/>
      <c r="M922" s="64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6"/>
      <c r="J923" s="63"/>
      <c r="K923" s="63"/>
      <c r="L923" s="63"/>
      <c r="M923" s="64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6"/>
      <c r="J924" s="63"/>
      <c r="K924" s="63"/>
      <c r="L924" s="63"/>
      <c r="M924" s="64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6"/>
      <c r="J925" s="63"/>
      <c r="K925" s="63"/>
      <c r="L925" s="63"/>
      <c r="M925" s="64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6"/>
      <c r="J926" s="63"/>
      <c r="K926" s="63"/>
      <c r="L926" s="63"/>
      <c r="M926" s="64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6"/>
      <c r="J927" s="63"/>
      <c r="K927" s="63"/>
      <c r="L927" s="63"/>
      <c r="M927" s="64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6"/>
      <c r="J928" s="63"/>
      <c r="K928" s="63"/>
      <c r="L928" s="63"/>
      <c r="M928" s="64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6"/>
      <c r="J929" s="63"/>
      <c r="K929" s="63"/>
      <c r="L929" s="63"/>
      <c r="M929" s="64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6"/>
      <c r="J930" s="63"/>
      <c r="K930" s="63"/>
      <c r="L930" s="63"/>
      <c r="M930" s="64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6"/>
      <c r="J931" s="63"/>
      <c r="K931" s="63"/>
      <c r="L931" s="63"/>
      <c r="M931" s="64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6"/>
      <c r="J932" s="63"/>
      <c r="K932" s="63"/>
      <c r="L932" s="63"/>
      <c r="M932" s="64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6"/>
      <c r="J933" s="63"/>
      <c r="K933" s="63"/>
      <c r="L933" s="63"/>
      <c r="M933" s="64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6"/>
      <c r="J934" s="63"/>
      <c r="K934" s="63"/>
      <c r="L934" s="63"/>
      <c r="M934" s="64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6"/>
      <c r="J935" s="63"/>
      <c r="K935" s="63"/>
      <c r="L935" s="63"/>
      <c r="M935" s="64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6"/>
      <c r="J936" s="63"/>
      <c r="K936" s="63"/>
      <c r="L936" s="63"/>
      <c r="M936" s="64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6"/>
      <c r="J937" s="63"/>
      <c r="K937" s="63"/>
      <c r="L937" s="63"/>
      <c r="M937" s="64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6"/>
      <c r="J938" s="63"/>
      <c r="K938" s="63"/>
      <c r="L938" s="63"/>
      <c r="M938" s="64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6"/>
      <c r="J939" s="63"/>
      <c r="K939" s="63"/>
      <c r="L939" s="63"/>
      <c r="M939" s="64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6"/>
      <c r="J940" s="63"/>
      <c r="K940" s="63"/>
      <c r="L940" s="63"/>
      <c r="M940" s="64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6"/>
      <c r="J941" s="63"/>
      <c r="K941" s="63"/>
      <c r="L941" s="63"/>
      <c r="M941" s="64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6"/>
      <c r="J942" s="63"/>
      <c r="K942" s="63"/>
      <c r="L942" s="63"/>
      <c r="M942" s="64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6"/>
      <c r="J943" s="63"/>
      <c r="K943" s="63"/>
      <c r="L943" s="63"/>
      <c r="M943" s="64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6"/>
      <c r="J944" s="63"/>
      <c r="K944" s="63"/>
      <c r="L944" s="63"/>
      <c r="M944" s="64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6"/>
      <c r="J945" s="63"/>
      <c r="K945" s="63"/>
      <c r="L945" s="63"/>
      <c r="M945" s="64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6"/>
      <c r="J946" s="63"/>
      <c r="K946" s="63"/>
      <c r="L946" s="63"/>
      <c r="M946" s="64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6"/>
      <c r="J947" s="63"/>
      <c r="K947" s="63"/>
      <c r="L947" s="63"/>
      <c r="M947" s="64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6"/>
      <c r="J948" s="63"/>
      <c r="K948" s="63"/>
      <c r="L948" s="63"/>
      <c r="M948" s="64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6"/>
      <c r="J949" s="63"/>
      <c r="K949" s="63"/>
      <c r="L949" s="63"/>
      <c r="M949" s="64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6"/>
      <c r="J950" s="63"/>
      <c r="K950" s="63"/>
      <c r="L950" s="63"/>
      <c r="M950" s="64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6"/>
      <c r="J951" s="63"/>
      <c r="K951" s="63"/>
      <c r="L951" s="63"/>
      <c r="M951" s="64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6"/>
      <c r="J952" s="63"/>
      <c r="K952" s="63"/>
      <c r="L952" s="63"/>
      <c r="M952" s="64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6"/>
      <c r="J953" s="63"/>
      <c r="K953" s="63"/>
      <c r="L953" s="63"/>
      <c r="M953" s="64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6"/>
      <c r="J954" s="63"/>
      <c r="K954" s="63"/>
      <c r="L954" s="63"/>
      <c r="M954" s="64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6"/>
      <c r="J955" s="63"/>
      <c r="K955" s="63"/>
      <c r="L955" s="63"/>
      <c r="M955" s="64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6"/>
      <c r="J956" s="63"/>
      <c r="K956" s="63"/>
      <c r="L956" s="63"/>
      <c r="M956" s="64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6"/>
      <c r="J957" s="63"/>
      <c r="K957" s="63"/>
      <c r="L957" s="63"/>
      <c r="M957" s="64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6"/>
      <c r="J958" s="63"/>
      <c r="K958" s="63"/>
      <c r="L958" s="63"/>
      <c r="M958" s="64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6"/>
      <c r="J959" s="63"/>
      <c r="K959" s="63"/>
      <c r="L959" s="63"/>
      <c r="M959" s="64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6"/>
      <c r="J960" s="63"/>
      <c r="K960" s="63"/>
      <c r="L960" s="63"/>
      <c r="M960" s="64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6"/>
      <c r="J961" s="63"/>
      <c r="K961" s="63"/>
      <c r="L961" s="63"/>
      <c r="M961" s="64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6"/>
      <c r="J962" s="63"/>
      <c r="K962" s="63"/>
      <c r="L962" s="63"/>
      <c r="M962" s="64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6"/>
      <c r="J963" s="63"/>
      <c r="K963" s="63"/>
      <c r="L963" s="63"/>
      <c r="M963" s="64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6"/>
      <c r="J964" s="63"/>
      <c r="K964" s="63"/>
      <c r="L964" s="63"/>
      <c r="M964" s="64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6"/>
      <c r="J965" s="63"/>
      <c r="K965" s="63"/>
      <c r="L965" s="63"/>
      <c r="M965" s="64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6"/>
      <c r="J966" s="63"/>
      <c r="K966" s="63"/>
      <c r="L966" s="63"/>
      <c r="M966" s="64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6"/>
      <c r="J967" s="63"/>
      <c r="K967" s="63"/>
      <c r="L967" s="63"/>
      <c r="M967" s="64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6"/>
      <c r="J968" s="63"/>
      <c r="K968" s="63"/>
      <c r="L968" s="63"/>
      <c r="M968" s="64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6"/>
      <c r="J969" s="63"/>
      <c r="K969" s="63"/>
      <c r="L969" s="63"/>
      <c r="M969" s="64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6"/>
      <c r="J970" s="63"/>
      <c r="K970" s="63"/>
      <c r="L970" s="63"/>
      <c r="M970" s="64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6"/>
      <c r="J971" s="63"/>
      <c r="K971" s="63"/>
      <c r="L971" s="63"/>
      <c r="M971" s="64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6"/>
      <c r="J972" s="63"/>
      <c r="K972" s="63"/>
      <c r="L972" s="63"/>
      <c r="M972" s="64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6"/>
      <c r="J973" s="63"/>
      <c r="K973" s="63"/>
      <c r="L973" s="63"/>
      <c r="M973" s="64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6"/>
      <c r="J974" s="63"/>
      <c r="K974" s="63"/>
      <c r="L974" s="63"/>
      <c r="M974" s="64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6"/>
      <c r="J975" s="63"/>
      <c r="K975" s="63"/>
      <c r="L975" s="63"/>
      <c r="M975" s="64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6"/>
      <c r="J976" s="63"/>
      <c r="K976" s="63"/>
      <c r="L976" s="63"/>
      <c r="M976" s="64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6"/>
      <c r="J977" s="63"/>
      <c r="K977" s="63"/>
      <c r="L977" s="63"/>
      <c r="M977" s="64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6"/>
      <c r="J978" s="63"/>
      <c r="K978" s="63"/>
      <c r="L978" s="63"/>
      <c r="M978" s="64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6"/>
      <c r="J979" s="63"/>
      <c r="K979" s="63"/>
      <c r="L979" s="63"/>
      <c r="M979" s="64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6"/>
      <c r="J980" s="63"/>
      <c r="K980" s="63"/>
      <c r="L980" s="63"/>
      <c r="M980" s="64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6"/>
      <c r="J981" s="63"/>
      <c r="K981" s="63"/>
      <c r="L981" s="63"/>
      <c r="M981" s="64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6"/>
      <c r="J982" s="63"/>
      <c r="K982" s="63"/>
      <c r="L982" s="63"/>
      <c r="M982" s="64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6"/>
      <c r="J983" s="63"/>
      <c r="K983" s="63"/>
      <c r="L983" s="63"/>
      <c r="M983" s="64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6"/>
      <c r="J984" s="63"/>
      <c r="K984" s="63"/>
      <c r="L984" s="63"/>
      <c r="M984" s="64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6"/>
      <c r="J985" s="63"/>
      <c r="K985" s="63"/>
      <c r="L985" s="63"/>
      <c r="M985" s="64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6"/>
      <c r="J986" s="63"/>
      <c r="K986" s="63"/>
      <c r="L986" s="63"/>
      <c r="M986" s="64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6"/>
      <c r="J987" s="63"/>
      <c r="K987" s="63"/>
      <c r="L987" s="63"/>
      <c r="M987" s="64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6"/>
      <c r="J988" s="63"/>
      <c r="K988" s="63"/>
      <c r="L988" s="63"/>
      <c r="M988" s="64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6"/>
      <c r="J989" s="63"/>
      <c r="K989" s="63"/>
      <c r="L989" s="63"/>
      <c r="M989" s="64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6"/>
      <c r="J990" s="63"/>
      <c r="K990" s="63"/>
      <c r="L990" s="63"/>
      <c r="M990" s="64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6"/>
      <c r="J991" s="63"/>
      <c r="K991" s="63"/>
      <c r="L991" s="63"/>
      <c r="M991" s="64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6"/>
      <c r="J992" s="63"/>
      <c r="K992" s="63"/>
      <c r="L992" s="63"/>
      <c r="M992" s="64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6"/>
      <c r="J993" s="63"/>
      <c r="K993" s="63"/>
      <c r="L993" s="63"/>
      <c r="M993" s="64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6"/>
      <c r="J994" s="63"/>
      <c r="K994" s="63"/>
      <c r="L994" s="63"/>
      <c r="M994" s="64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6"/>
      <c r="J995" s="63"/>
      <c r="K995" s="63"/>
      <c r="L995" s="63"/>
      <c r="M995" s="64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6"/>
      <c r="J996" s="63"/>
      <c r="K996" s="63"/>
      <c r="L996" s="63"/>
      <c r="M996" s="64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6"/>
      <c r="J997" s="63"/>
      <c r="K997" s="63"/>
      <c r="L997" s="63"/>
      <c r="M997" s="64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6"/>
      <c r="J998" s="63"/>
      <c r="K998" s="63"/>
      <c r="L998" s="63"/>
      <c r="M998" s="64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6"/>
      <c r="J999" s="63"/>
      <c r="K999" s="63"/>
      <c r="L999" s="63"/>
      <c r="M999" s="64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6"/>
      <c r="J1000" s="63"/>
      <c r="K1000" s="63"/>
      <c r="L1000" s="63"/>
      <c r="M1000" s="64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 ht="15.75" customHeight="1">
      <c r="A1001" s="63"/>
      <c r="B1001" s="63"/>
      <c r="C1001" s="63"/>
      <c r="D1001" s="63"/>
      <c r="E1001" s="63"/>
      <c r="F1001" s="63"/>
      <c r="G1001" s="63"/>
      <c r="H1001" s="63"/>
      <c r="I1001" s="66"/>
      <c r="J1001" s="63"/>
      <c r="K1001" s="63"/>
      <c r="L1001" s="63"/>
      <c r="M1001" s="64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  <row r="1002" ht="15.75" customHeight="1">
      <c r="A1002" s="63"/>
      <c r="B1002" s="63"/>
      <c r="C1002" s="63"/>
      <c r="D1002" s="63"/>
      <c r="E1002" s="63"/>
      <c r="F1002" s="63"/>
      <c r="G1002" s="63"/>
      <c r="H1002" s="63"/>
      <c r="I1002" s="66"/>
      <c r="J1002" s="63"/>
      <c r="K1002" s="63"/>
      <c r="L1002" s="63"/>
      <c r="M1002" s="64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</row>
    <row r="1003" ht="15.75" customHeight="1">
      <c r="A1003" s="63"/>
      <c r="B1003" s="63"/>
      <c r="C1003" s="63"/>
      <c r="D1003" s="63"/>
      <c r="E1003" s="63"/>
      <c r="F1003" s="63"/>
      <c r="G1003" s="63"/>
      <c r="H1003" s="63"/>
      <c r="I1003" s="66"/>
      <c r="J1003" s="63"/>
      <c r="K1003" s="63"/>
      <c r="L1003" s="63"/>
      <c r="M1003" s="64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</row>
    <row r="1004" ht="15.75" customHeight="1">
      <c r="A1004" s="63"/>
      <c r="B1004" s="63"/>
      <c r="C1004" s="63"/>
      <c r="D1004" s="63"/>
      <c r="E1004" s="63"/>
      <c r="F1004" s="63"/>
      <c r="G1004" s="63"/>
      <c r="H1004" s="63"/>
      <c r="I1004" s="66"/>
      <c r="J1004" s="63"/>
      <c r="K1004" s="63"/>
      <c r="L1004" s="63"/>
      <c r="M1004" s="64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</row>
    <row r="1005" ht="15.75" customHeight="1">
      <c r="A1005" s="63"/>
      <c r="B1005" s="63"/>
      <c r="C1005" s="63"/>
      <c r="D1005" s="63"/>
      <c r="E1005" s="63"/>
      <c r="F1005" s="63"/>
      <c r="G1005" s="63"/>
      <c r="H1005" s="63"/>
      <c r="I1005" s="66"/>
      <c r="J1005" s="63"/>
      <c r="K1005" s="63"/>
      <c r="L1005" s="63"/>
      <c r="M1005" s="64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</row>
    <row r="1006" ht="15.75" customHeight="1">
      <c r="A1006" s="63"/>
      <c r="B1006" s="63"/>
      <c r="C1006" s="63"/>
      <c r="D1006" s="63"/>
      <c r="E1006" s="63"/>
      <c r="F1006" s="63"/>
      <c r="G1006" s="63"/>
      <c r="H1006" s="63"/>
      <c r="I1006" s="66"/>
      <c r="J1006" s="63"/>
      <c r="K1006" s="63"/>
      <c r="L1006" s="63"/>
      <c r="M1006" s="64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</row>
    <row r="1007" ht="15.75" customHeight="1">
      <c r="A1007" s="63"/>
      <c r="B1007" s="63"/>
      <c r="C1007" s="63"/>
      <c r="D1007" s="63"/>
      <c r="E1007" s="63"/>
      <c r="F1007" s="63"/>
      <c r="G1007" s="63"/>
      <c r="H1007" s="63"/>
      <c r="I1007" s="66"/>
      <c r="J1007" s="63"/>
      <c r="K1007" s="63"/>
      <c r="L1007" s="63"/>
      <c r="M1007" s="64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</row>
    <row r="1008" ht="15.75" customHeight="1">
      <c r="A1008" s="63"/>
      <c r="B1008" s="63"/>
      <c r="C1008" s="63"/>
      <c r="D1008" s="63"/>
      <c r="E1008" s="63"/>
      <c r="F1008" s="63"/>
      <c r="G1008" s="63"/>
      <c r="H1008" s="63"/>
      <c r="I1008" s="66"/>
      <c r="J1008" s="63"/>
      <c r="K1008" s="63"/>
      <c r="L1008" s="63"/>
      <c r="M1008" s="64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</row>
    <row r="1009" ht="15.75" customHeight="1">
      <c r="A1009" s="63"/>
      <c r="B1009" s="63"/>
      <c r="C1009" s="63"/>
      <c r="D1009" s="63"/>
      <c r="E1009" s="63"/>
      <c r="F1009" s="63"/>
      <c r="G1009" s="63"/>
      <c r="H1009" s="63"/>
      <c r="I1009" s="66"/>
      <c r="J1009" s="63"/>
      <c r="K1009" s="63"/>
      <c r="L1009" s="63"/>
      <c r="M1009" s="64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</row>
    <row r="1010" ht="15.75" customHeight="1">
      <c r="A1010" s="63"/>
      <c r="B1010" s="63"/>
      <c r="C1010" s="63"/>
      <c r="D1010" s="63"/>
      <c r="E1010" s="63"/>
      <c r="F1010" s="63"/>
      <c r="G1010" s="63"/>
      <c r="H1010" s="63"/>
      <c r="I1010" s="66"/>
      <c r="J1010" s="63"/>
      <c r="K1010" s="63"/>
      <c r="L1010" s="63"/>
      <c r="M1010" s="64"/>
      <c r="N1010" s="63"/>
      <c r="O1010" s="63"/>
      <c r="P1010" s="63"/>
      <c r="Q1010" s="63"/>
      <c r="R1010" s="63"/>
      <c r="S1010" s="63"/>
      <c r="T1010" s="63"/>
      <c r="U1010" s="63"/>
      <c r="V1010" s="63"/>
      <c r="W1010" s="63"/>
      <c r="X1010" s="63"/>
      <c r="Y1010" s="63"/>
      <c r="Z1010" s="63"/>
    </row>
    <row r="1011" ht="15.75" customHeight="1">
      <c r="A1011" s="63"/>
      <c r="B1011" s="63"/>
      <c r="C1011" s="63"/>
      <c r="D1011" s="63"/>
      <c r="E1011" s="63"/>
      <c r="F1011" s="63"/>
      <c r="G1011" s="63"/>
      <c r="H1011" s="63"/>
      <c r="I1011" s="66"/>
      <c r="J1011" s="63"/>
      <c r="K1011" s="63"/>
      <c r="L1011" s="63"/>
      <c r="M1011" s="64"/>
      <c r="N1011" s="63"/>
      <c r="O1011" s="63"/>
      <c r="P1011" s="63"/>
      <c r="Q1011" s="63"/>
      <c r="R1011" s="63"/>
      <c r="S1011" s="63"/>
      <c r="T1011" s="63"/>
      <c r="U1011" s="63"/>
      <c r="V1011" s="63"/>
      <c r="W1011" s="63"/>
      <c r="X1011" s="63"/>
      <c r="Y1011" s="63"/>
      <c r="Z1011" s="63"/>
    </row>
    <row r="1012" ht="15.75" customHeight="1">
      <c r="A1012" s="63"/>
      <c r="B1012" s="63"/>
      <c r="C1012" s="63"/>
      <c r="D1012" s="63"/>
      <c r="E1012" s="63"/>
      <c r="F1012" s="63"/>
      <c r="G1012" s="63"/>
      <c r="H1012" s="63"/>
      <c r="I1012" s="66"/>
      <c r="J1012" s="63"/>
      <c r="K1012" s="63"/>
      <c r="L1012" s="63"/>
      <c r="M1012" s="64"/>
      <c r="N1012" s="63"/>
      <c r="O1012" s="63"/>
      <c r="P1012" s="63"/>
      <c r="Q1012" s="63"/>
      <c r="R1012" s="63"/>
      <c r="S1012" s="63"/>
      <c r="T1012" s="63"/>
      <c r="U1012" s="63"/>
      <c r="V1012" s="63"/>
      <c r="W1012" s="63"/>
      <c r="X1012" s="63"/>
      <c r="Y1012" s="63"/>
      <c r="Z1012" s="63"/>
    </row>
    <row r="1013" ht="15.75" customHeight="1">
      <c r="A1013" s="63"/>
      <c r="B1013" s="63"/>
      <c r="C1013" s="63"/>
      <c r="D1013" s="63"/>
      <c r="E1013" s="63"/>
      <c r="F1013" s="63"/>
      <c r="G1013" s="63"/>
      <c r="H1013" s="63"/>
      <c r="I1013" s="66"/>
      <c r="J1013" s="63"/>
      <c r="K1013" s="63"/>
      <c r="L1013" s="63"/>
      <c r="M1013" s="64"/>
      <c r="N1013" s="63"/>
      <c r="O1013" s="63"/>
      <c r="P1013" s="63"/>
      <c r="Q1013" s="63"/>
      <c r="R1013" s="63"/>
      <c r="S1013" s="63"/>
      <c r="T1013" s="63"/>
      <c r="U1013" s="63"/>
      <c r="V1013" s="63"/>
      <c r="W1013" s="63"/>
      <c r="X1013" s="63"/>
      <c r="Y1013" s="63"/>
      <c r="Z1013" s="63"/>
    </row>
    <row r="1014" ht="15.75" customHeight="1">
      <c r="A1014" s="63"/>
      <c r="B1014" s="63"/>
      <c r="C1014" s="63"/>
      <c r="D1014" s="63"/>
      <c r="E1014" s="63"/>
      <c r="F1014" s="63"/>
      <c r="G1014" s="63"/>
      <c r="H1014" s="63"/>
      <c r="I1014" s="66"/>
      <c r="J1014" s="63"/>
      <c r="K1014" s="63"/>
      <c r="L1014" s="63"/>
      <c r="M1014" s="64"/>
      <c r="N1014" s="63"/>
      <c r="O1014" s="63"/>
      <c r="P1014" s="63"/>
      <c r="Q1014" s="63"/>
      <c r="R1014" s="63"/>
      <c r="S1014" s="63"/>
      <c r="T1014" s="63"/>
      <c r="U1014" s="63"/>
      <c r="V1014" s="63"/>
      <c r="W1014" s="63"/>
      <c r="X1014" s="63"/>
      <c r="Y1014" s="63"/>
      <c r="Z1014" s="63"/>
    </row>
    <row r="1015" ht="15.75" customHeight="1">
      <c r="A1015" s="63"/>
      <c r="B1015" s="63"/>
      <c r="C1015" s="63"/>
      <c r="D1015" s="63"/>
      <c r="E1015" s="63"/>
      <c r="F1015" s="63"/>
      <c r="G1015" s="63"/>
      <c r="H1015" s="63"/>
      <c r="I1015" s="66"/>
      <c r="J1015" s="63"/>
      <c r="K1015" s="63"/>
      <c r="L1015" s="63"/>
      <c r="M1015" s="64"/>
      <c r="N1015" s="63"/>
      <c r="O1015" s="63"/>
      <c r="P1015" s="63"/>
      <c r="Q1015" s="63"/>
      <c r="R1015" s="63"/>
      <c r="S1015" s="63"/>
      <c r="T1015" s="63"/>
      <c r="U1015" s="63"/>
      <c r="V1015" s="63"/>
      <c r="W1015" s="63"/>
      <c r="X1015" s="63"/>
      <c r="Y1015" s="63"/>
      <c r="Z1015" s="63"/>
    </row>
    <row r="1016" ht="15.75" customHeight="1">
      <c r="A1016" s="63"/>
      <c r="B1016" s="63"/>
      <c r="C1016" s="63"/>
      <c r="D1016" s="63"/>
      <c r="E1016" s="63"/>
      <c r="F1016" s="63"/>
      <c r="G1016" s="63"/>
      <c r="H1016" s="63"/>
      <c r="I1016" s="66"/>
      <c r="J1016" s="63"/>
      <c r="K1016" s="63"/>
      <c r="L1016" s="63"/>
      <c r="M1016" s="64"/>
      <c r="N1016" s="63"/>
      <c r="O1016" s="63"/>
      <c r="P1016" s="63"/>
      <c r="Q1016" s="63"/>
      <c r="R1016" s="63"/>
      <c r="S1016" s="63"/>
      <c r="T1016" s="63"/>
      <c r="U1016" s="63"/>
      <c r="V1016" s="63"/>
      <c r="W1016" s="63"/>
      <c r="X1016" s="63"/>
      <c r="Y1016" s="63"/>
      <c r="Z1016" s="63"/>
    </row>
    <row r="1017" ht="15.75" customHeight="1">
      <c r="A1017" s="63"/>
      <c r="B1017" s="63"/>
      <c r="C1017" s="63"/>
      <c r="D1017" s="63"/>
      <c r="E1017" s="63"/>
      <c r="F1017" s="63"/>
      <c r="G1017" s="63"/>
      <c r="H1017" s="63"/>
      <c r="I1017" s="66"/>
      <c r="J1017" s="63"/>
      <c r="K1017" s="63"/>
      <c r="L1017" s="63"/>
      <c r="M1017" s="64"/>
      <c r="N1017" s="63"/>
      <c r="O1017" s="63"/>
      <c r="P1017" s="63"/>
      <c r="Q1017" s="63"/>
      <c r="R1017" s="63"/>
      <c r="S1017" s="63"/>
      <c r="T1017" s="63"/>
      <c r="U1017" s="63"/>
      <c r="V1017" s="63"/>
      <c r="W1017" s="63"/>
      <c r="X1017" s="63"/>
      <c r="Y1017" s="63"/>
      <c r="Z1017" s="63"/>
    </row>
    <row r="1018" ht="15.75" customHeight="1">
      <c r="A1018" s="63"/>
      <c r="B1018" s="63"/>
      <c r="C1018" s="63"/>
      <c r="D1018" s="63"/>
      <c r="E1018" s="63"/>
      <c r="F1018" s="63"/>
      <c r="G1018" s="63"/>
      <c r="H1018" s="63"/>
      <c r="I1018" s="66"/>
      <c r="J1018" s="63"/>
      <c r="K1018" s="63"/>
      <c r="L1018" s="63"/>
      <c r="M1018" s="64"/>
      <c r="N1018" s="63"/>
      <c r="O1018" s="63"/>
      <c r="P1018" s="63"/>
      <c r="Q1018" s="63"/>
      <c r="R1018" s="63"/>
      <c r="S1018" s="63"/>
      <c r="T1018" s="63"/>
      <c r="U1018" s="63"/>
      <c r="V1018" s="63"/>
      <c r="W1018" s="63"/>
      <c r="X1018" s="63"/>
      <c r="Y1018" s="63"/>
      <c r="Z1018" s="63"/>
    </row>
    <row r="1019" ht="15.75" customHeight="1">
      <c r="A1019" s="63"/>
      <c r="B1019" s="63"/>
      <c r="C1019" s="63"/>
      <c r="D1019" s="63"/>
      <c r="E1019" s="63"/>
      <c r="F1019" s="63"/>
      <c r="G1019" s="63"/>
      <c r="H1019" s="63"/>
      <c r="I1019" s="66"/>
      <c r="J1019" s="63"/>
      <c r="K1019" s="63"/>
      <c r="L1019" s="63"/>
      <c r="M1019" s="64"/>
      <c r="N1019" s="63"/>
      <c r="O1019" s="63"/>
      <c r="P1019" s="63"/>
      <c r="Q1019" s="63"/>
      <c r="R1019" s="63"/>
      <c r="S1019" s="63"/>
      <c r="T1019" s="63"/>
      <c r="U1019" s="63"/>
      <c r="V1019" s="63"/>
      <c r="W1019" s="63"/>
      <c r="X1019" s="63"/>
      <c r="Y1019" s="63"/>
      <c r="Z1019" s="63"/>
    </row>
    <row r="1020" ht="15.75" customHeight="1">
      <c r="A1020" s="63"/>
      <c r="B1020" s="63"/>
      <c r="C1020" s="63"/>
      <c r="D1020" s="63"/>
      <c r="E1020" s="63"/>
      <c r="F1020" s="63"/>
      <c r="G1020" s="63"/>
      <c r="H1020" s="63"/>
      <c r="I1020" s="66"/>
      <c r="J1020" s="63"/>
      <c r="K1020" s="63"/>
      <c r="L1020" s="63"/>
      <c r="M1020" s="64"/>
      <c r="N1020" s="63"/>
      <c r="O1020" s="63"/>
      <c r="P1020" s="63"/>
      <c r="Q1020" s="63"/>
      <c r="R1020" s="63"/>
      <c r="S1020" s="63"/>
      <c r="T1020" s="63"/>
      <c r="U1020" s="63"/>
      <c r="V1020" s="63"/>
      <c r="W1020" s="63"/>
      <c r="X1020" s="63"/>
      <c r="Y1020" s="63"/>
      <c r="Z1020" s="63"/>
    </row>
    <row r="1021" ht="15.75" customHeight="1">
      <c r="A1021" s="63"/>
      <c r="B1021" s="63"/>
      <c r="C1021" s="63"/>
      <c r="D1021" s="63"/>
      <c r="E1021" s="63"/>
      <c r="F1021" s="63"/>
      <c r="G1021" s="63"/>
      <c r="H1021" s="63"/>
      <c r="I1021" s="66"/>
      <c r="J1021" s="63"/>
      <c r="K1021" s="63"/>
      <c r="L1021" s="63"/>
      <c r="M1021" s="64"/>
      <c r="N1021" s="63"/>
      <c r="O1021" s="63"/>
      <c r="P1021" s="63"/>
      <c r="Q1021" s="63"/>
      <c r="R1021" s="63"/>
      <c r="S1021" s="63"/>
      <c r="T1021" s="63"/>
      <c r="U1021" s="63"/>
      <c r="V1021" s="63"/>
      <c r="W1021" s="63"/>
      <c r="X1021" s="63"/>
      <c r="Y1021" s="63"/>
      <c r="Z1021" s="63"/>
    </row>
    <row r="1022" ht="15.75" customHeight="1">
      <c r="A1022" s="63"/>
      <c r="B1022" s="63"/>
      <c r="C1022" s="63"/>
      <c r="D1022" s="63"/>
      <c r="E1022" s="63"/>
      <c r="F1022" s="63"/>
      <c r="G1022" s="63"/>
      <c r="H1022" s="63"/>
      <c r="I1022" s="66"/>
      <c r="J1022" s="63"/>
      <c r="K1022" s="63"/>
      <c r="L1022" s="63"/>
      <c r="M1022" s="64"/>
      <c r="N1022" s="63"/>
      <c r="O1022" s="63"/>
      <c r="P1022" s="63"/>
      <c r="Q1022" s="63"/>
      <c r="R1022" s="63"/>
      <c r="S1022" s="63"/>
      <c r="T1022" s="63"/>
      <c r="U1022" s="63"/>
      <c r="V1022" s="63"/>
      <c r="W1022" s="63"/>
      <c r="X1022" s="63"/>
      <c r="Y1022" s="63"/>
      <c r="Z1022" s="63"/>
    </row>
  </sheetData>
  <autoFilter ref="$A$9:$M$65">
    <filterColumn colId="2">
      <filters blank="1">
        <filter val="Rajat Hela"/>
        <filter val="Umesh Kumar"/>
      </filters>
    </filterColumn>
  </autoFilter>
  <mergeCells count="1">
    <mergeCell ref="A1:K2"/>
  </mergeCells>
  <dataValidations>
    <dataValidation type="custom" allowBlank="1" showDropDown="1" sqref="E10:K82">
      <formula1>OR(TIMEVALUE(TEXT(E10, "hh:mm:ss"))=E10, AND(ISNUMBER(E10), LEFT(CELL("format", E10))="D"))</formula1>
    </dataValidation>
    <dataValidation type="custom" allowBlank="1" showDropDown="1" sqref="A10:A82">
      <formula1>OR(NOT(ISERROR(DATEVALUE(A10))), AND(ISNUMBER(A10), LEFT(CELL("format", A10))="D"))</formula1>
    </dataValidation>
    <dataValidation type="custom" allowBlank="1" showDropDown="1" sqref="F6:H7 K6:K7">
      <formula1>AND(ISNUMBER(F6),(NOT(OR(NOT(ISERROR(DATEVALUE(F6))), AND(ISNUMBER(F6), LEFT(CELL("format", F6))="D")))))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75"/>
    <col customWidth="1" min="3" max="3" width="18.0"/>
    <col customWidth="1" min="4" max="4" width="13.0"/>
    <col customWidth="1" min="5" max="5" width="12.88"/>
    <col customWidth="1" min="6" max="6" width="13.38"/>
    <col customWidth="1" min="7" max="7" width="15.25"/>
    <col customWidth="1" min="8" max="8" width="17.25"/>
    <col customWidth="1" min="9" max="9" width="17.63"/>
    <col customWidth="1" min="10" max="10" width="16.63"/>
    <col customWidth="1" min="11" max="11" width="20.25"/>
    <col customWidth="1" hidden="1" min="12" max="13" width="7.63"/>
    <col customWidth="1" min="14" max="26" width="7.63"/>
  </cols>
  <sheetData>
    <row r="1" ht="15.0" customHeight="1">
      <c r="A1" s="60">
        <v>46054.0</v>
      </c>
      <c r="B1" s="2"/>
      <c r="C1" s="2"/>
      <c r="D1" s="2"/>
      <c r="E1" s="2"/>
      <c r="F1" s="2"/>
      <c r="G1" s="2"/>
      <c r="H1" s="2"/>
      <c r="I1" s="2"/>
      <c r="J1" s="2"/>
      <c r="K1" s="3"/>
      <c r="L1" s="61"/>
      <c r="M1" s="62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63"/>
      <c r="M2" s="64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3"/>
      <c r="B3" s="63"/>
      <c r="C3" s="63"/>
      <c r="D3" s="63"/>
      <c r="E3" s="63"/>
      <c r="F3" s="65"/>
      <c r="G3" s="66"/>
      <c r="H3" s="66"/>
      <c r="I3" s="66"/>
      <c r="J3" s="65"/>
      <c r="K3" s="66"/>
      <c r="L3" s="63"/>
      <c r="M3" s="64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3"/>
      <c r="B4" s="63"/>
      <c r="C4" s="63"/>
      <c r="D4" s="63"/>
      <c r="E4" s="63"/>
      <c r="F4" s="65"/>
      <c r="G4" s="66"/>
      <c r="H4" s="66"/>
      <c r="I4" s="66"/>
      <c r="J4" s="65"/>
      <c r="K4" s="66"/>
      <c r="L4" s="63"/>
      <c r="M4" s="64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22.5" customHeight="1">
      <c r="A5" s="11" t="s">
        <v>34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3" t="s">
        <v>7</v>
      </c>
      <c r="H5" s="13" t="s">
        <v>8</v>
      </c>
      <c r="I5" s="13" t="s">
        <v>35</v>
      </c>
      <c r="J5" s="13" t="s">
        <v>36</v>
      </c>
      <c r="K5" s="12" t="s">
        <v>37</v>
      </c>
      <c r="L5" s="63"/>
      <c r="M5" s="64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22.5" customHeight="1">
      <c r="A6" s="21">
        <v>1.0</v>
      </c>
      <c r="B6" s="34" t="str">
        <f>VLOOKUP(A6,Employees!A:B,2,FALSE)</f>
        <v>Rajat Hela</v>
      </c>
      <c r="C6" s="34">
        <f>VLOOKUP(A6,Employees!A:C,3,FALSE)</f>
        <v>9023270731</v>
      </c>
      <c r="D6" s="34" t="str">
        <f>VLOOKUP(A6,Employees!A:D,4,FALSE)</f>
        <v>Production</v>
      </c>
      <c r="E6" s="67" t="str">
        <f>VLOOKUP(A6,Employees!A:E,5,FALSE)</f>
        <v>CNC Machine Operator</v>
      </c>
      <c r="F6" s="68">
        <f>VLOOKUP(A6,Employees!A:F,6,FALSE)</f>
        <v>17000</v>
      </c>
      <c r="G6" s="69">
        <f>VLOOKUP(A6,Employees!A:G,7,FALSE)</f>
        <v>653.8461538</v>
      </c>
      <c r="H6" s="69">
        <f>VLOOKUP(A6,Employees!A:H,8,FALSE)</f>
        <v>59.44055944</v>
      </c>
      <c r="I6" s="70">
        <f>SUMIFS('02-2026'!$L$10:$L$306,
        '02-2026'!$B$10:$B$306,
        $A6)</f>
        <v>263.3</v>
      </c>
      <c r="J6" s="70">
        <f>SUMIFS('02-2026'!$M$10:$M$306,
        '02-2026'!$B$10:$B$306,
        $A6)</f>
        <v>13</v>
      </c>
      <c r="K6" s="71">
        <f>('02-2026'!$I6+'02-2026'!$J6)*'02-2026'!$H6</f>
        <v>16423.42657</v>
      </c>
      <c r="L6" s="63"/>
      <c r="M6" s="64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22.5" customHeight="1">
      <c r="A7" s="21">
        <v>2.0</v>
      </c>
      <c r="B7" s="34" t="str">
        <f>VLOOKUP(A7,Employees!A:B,2,FALSE)</f>
        <v>Umesh Kumar</v>
      </c>
      <c r="C7" s="34" t="str">
        <f>VLOOKUP(A7,Employees!A:C,3,FALSE)</f>
        <v/>
      </c>
      <c r="D7" s="34" t="str">
        <f>VLOOKUP(A7,Employees!A:D,4,FALSE)</f>
        <v>Production</v>
      </c>
      <c r="E7" s="67" t="str">
        <f>VLOOKUP(A7,Employees!A:E,5,FALSE)</f>
        <v>CNC Machine Operator</v>
      </c>
      <c r="F7" s="106">
        <v>18000.0</v>
      </c>
      <c r="G7" s="69">
        <f>VLOOKUP(A7,Employees!A:G,7,FALSE)</f>
        <v>692.3076923</v>
      </c>
      <c r="H7" s="69">
        <f>VLOOKUP(A7,Employees!A:H,8,FALSE)</f>
        <v>62.93706294</v>
      </c>
      <c r="I7" s="70">
        <f>SUMIFS('02-2026'!$L$10:$L$306,
        '02-2026'!$B$10:$B$306,
        $A7)</f>
        <v>275.3</v>
      </c>
      <c r="J7" s="70">
        <f>SUMIFS('02-2026'!$M$10:$M$306,
        '02-2026'!$B$10:$B$306,
        $A7)</f>
        <v>12</v>
      </c>
      <c r="K7" s="71">
        <f>('02-2026'!$I7+'02-2026'!$J7)*'02-2026'!$H7</f>
        <v>18081.81818</v>
      </c>
      <c r="L7" s="63"/>
      <c r="M7" s="64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63"/>
      <c r="B8" s="63"/>
      <c r="C8" s="63"/>
      <c r="D8" s="63"/>
      <c r="E8" s="63"/>
      <c r="F8" s="63"/>
      <c r="G8" s="63"/>
      <c r="H8" s="63"/>
      <c r="I8" s="66"/>
      <c r="J8" s="63"/>
      <c r="K8" s="63"/>
      <c r="L8" s="63"/>
      <c r="M8" s="64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22.5" customHeight="1">
      <c r="A9" s="107" t="s">
        <v>15</v>
      </c>
      <c r="B9" s="107" t="s">
        <v>1</v>
      </c>
      <c r="C9" s="107" t="s">
        <v>2</v>
      </c>
      <c r="D9" s="108" t="s">
        <v>38</v>
      </c>
      <c r="E9" s="108" t="s">
        <v>39</v>
      </c>
      <c r="F9" s="108" t="s">
        <v>40</v>
      </c>
      <c r="G9" s="108" t="s">
        <v>41</v>
      </c>
      <c r="H9" s="109" t="s">
        <v>42</v>
      </c>
      <c r="I9" s="109" t="s">
        <v>43</v>
      </c>
      <c r="J9" s="107" t="s">
        <v>44</v>
      </c>
      <c r="K9" s="109" t="s">
        <v>45</v>
      </c>
      <c r="L9" s="21" t="s">
        <v>46</v>
      </c>
      <c r="M9" s="21" t="s">
        <v>47</v>
      </c>
      <c r="N9" s="76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22.5" customHeight="1">
      <c r="A10" s="110"/>
      <c r="B10" s="111"/>
      <c r="C10" s="111"/>
      <c r="D10" s="112"/>
      <c r="E10" s="113"/>
      <c r="F10" s="113"/>
      <c r="G10" s="113"/>
      <c r="H10" s="114"/>
      <c r="I10" s="114"/>
      <c r="J10" s="115"/>
      <c r="K10" s="114"/>
      <c r="L10" s="116" t="str">
        <f t="shared" ref="L10:M10" si="1">IF(J10="","",
   IFERROR(
      HOUR(J10)+MINUTE(J10)/100,
      HOUR(TIMEVALUE(SUBSTITUTE(J10,CHAR(160),"")))
      +MINUTE(TIMEVALUE(SUBSTITUTE(J10,CHAR(160),"")))/100
   )
)
</f>
        <v/>
      </c>
      <c r="M10" s="116" t="str">
        <f t="shared" si="1"/>
        <v/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22.5" customHeight="1">
      <c r="A11" s="117">
        <v>46054.0</v>
      </c>
      <c r="B11" s="118">
        <v>1.0</v>
      </c>
      <c r="C11" s="111" t="str">
        <f>VLOOKUP(B11,Employees!A:B,2,FALSE)</f>
        <v>Rajat Hela</v>
      </c>
      <c r="D11" s="119">
        <v>0.3333333333333333</v>
      </c>
      <c r="E11" s="120">
        <v>0.5416666666666666</v>
      </c>
      <c r="F11" s="121">
        <v>0.5833333333333334</v>
      </c>
      <c r="G11" s="121">
        <v>0.8333333333333334</v>
      </c>
      <c r="H11" s="114">
        <f t="shared" ref="H11:H16" si="2">F11 - E11</f>
        <v>0.04166666667</v>
      </c>
      <c r="I11" s="114">
        <f t="shared" ref="I11:I16" si="3">G11 - D11</f>
        <v>0.5</v>
      </c>
      <c r="J11" s="115">
        <f t="shared" ref="J11:J16" si="4">I11 - H11</f>
        <v>0.4583333333</v>
      </c>
      <c r="K11" s="114">
        <f t="shared" ref="K11:K16" si="5">MAX(
  0,
  MOD(
    IFERROR(
      J11,
      TIMEVALUE(SUBSTITUTE(J11,CHAR(160),""))
    ),
    1
  ) - TIME(11,0,0)
)
</f>
        <v>0</v>
      </c>
      <c r="L11" s="116">
        <f t="shared" ref="L11:L63" si="6">IF(J11="","",
   IFERROR(
      HOUR(MIN(MOD(J11,1), TIME(11,0,0))) +
      MINUTE(MIN(MOD(J11,1), TIME(11,0,0)))/100,
      HOUR(MIN(MOD(TIMEVALUE(SUBSTITUTE(J11,CHAR(160),"")),1), TIME(11,0,0))) +
      MINUTE(MIN(MOD(TIMEVALUE(SUBSTITUTE(J11,CHAR(160),"")),1), TIME(11,0,0)))/100
   )
)
</f>
        <v>11</v>
      </c>
      <c r="M11" s="116">
        <f t="shared" ref="M11:M63" si="7">IF(K11="","",
   IFERROR(
      HOUR(K11)+MINUTE(K11)/100,
      HOUR(TIMEVALUE(SUBSTITUTE(K11,CHAR(160),"")))
      +MINUTE(TIMEVALUE(SUBSTITUTE(K11,CHAR(160),"")))/100
   )
)
</f>
        <v>0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22.5" customHeight="1">
      <c r="A12" s="117"/>
      <c r="B12" s="118">
        <v>2.0</v>
      </c>
      <c r="C12" s="111" t="str">
        <f>VLOOKUP(B12,Employees!A:B,2,FALSE)</f>
        <v>Umesh Kumar</v>
      </c>
      <c r="D12" s="121">
        <v>0.8333333333333334</v>
      </c>
      <c r="E12" s="120"/>
      <c r="F12" s="121"/>
      <c r="G12" s="121">
        <v>0.3333333333333333</v>
      </c>
      <c r="H12" s="114">
        <f t="shared" si="2"/>
        <v>0</v>
      </c>
      <c r="I12" s="114">
        <f t="shared" si="3"/>
        <v>-0.5</v>
      </c>
      <c r="J12" s="115">
        <f t="shared" si="4"/>
        <v>-0.5</v>
      </c>
      <c r="K12" s="114">
        <f t="shared" si="5"/>
        <v>0.04166666667</v>
      </c>
      <c r="L12" s="116">
        <f t="shared" si="6"/>
        <v>11</v>
      </c>
      <c r="M12" s="116">
        <f t="shared" si="7"/>
        <v>1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22.5" customHeight="1">
      <c r="A13" s="117">
        <v>46055.0</v>
      </c>
      <c r="B13" s="118">
        <v>1.0</v>
      </c>
      <c r="C13" s="111" t="str">
        <f>VLOOKUP(B13,Employees!A:B,2,FALSE)</f>
        <v>Rajat Hela</v>
      </c>
      <c r="D13" s="119">
        <v>0.3333333333333333</v>
      </c>
      <c r="E13" s="120">
        <v>0.5416666666666666</v>
      </c>
      <c r="F13" s="121">
        <v>0.5833333333333334</v>
      </c>
      <c r="G13" s="121">
        <v>0.8125</v>
      </c>
      <c r="H13" s="114">
        <f t="shared" si="2"/>
        <v>0.04166666667</v>
      </c>
      <c r="I13" s="114">
        <f t="shared" si="3"/>
        <v>0.4791666667</v>
      </c>
      <c r="J13" s="115">
        <f t="shared" si="4"/>
        <v>0.4375</v>
      </c>
      <c r="K13" s="114">
        <f t="shared" si="5"/>
        <v>0</v>
      </c>
      <c r="L13" s="116">
        <f t="shared" si="6"/>
        <v>10.3</v>
      </c>
      <c r="M13" s="116">
        <f t="shared" si="7"/>
        <v>0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22.5" customHeight="1">
      <c r="A14" s="117"/>
      <c r="B14" s="118">
        <v>2.0</v>
      </c>
      <c r="C14" s="111" t="str">
        <f>VLOOKUP(B14,Employees!A:B,2,FALSE)</f>
        <v>Umesh Kumar</v>
      </c>
      <c r="D14" s="121">
        <v>0.8333333333333334</v>
      </c>
      <c r="E14" s="120"/>
      <c r="F14" s="121"/>
      <c r="G14" s="121">
        <v>0.3333333333333333</v>
      </c>
      <c r="H14" s="114">
        <f t="shared" si="2"/>
        <v>0</v>
      </c>
      <c r="I14" s="114">
        <f t="shared" si="3"/>
        <v>-0.5</v>
      </c>
      <c r="J14" s="115">
        <f t="shared" si="4"/>
        <v>-0.5</v>
      </c>
      <c r="K14" s="114">
        <f t="shared" si="5"/>
        <v>0.04166666667</v>
      </c>
      <c r="L14" s="116">
        <f t="shared" si="6"/>
        <v>11</v>
      </c>
      <c r="M14" s="116">
        <f t="shared" si="7"/>
        <v>1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22.5" customHeight="1">
      <c r="A15" s="117">
        <v>46056.0</v>
      </c>
      <c r="B15" s="118">
        <v>1.0</v>
      </c>
      <c r="C15" s="111" t="str">
        <f>VLOOKUP(B15,Employees!A:B,2,FALSE)</f>
        <v>Rajat Hela</v>
      </c>
      <c r="D15" s="119">
        <v>0.3333333333333333</v>
      </c>
      <c r="E15" s="120">
        <v>0.5416666666666666</v>
      </c>
      <c r="F15" s="121">
        <v>0.5833333333333334</v>
      </c>
      <c r="G15" s="121">
        <v>0.8333333333333334</v>
      </c>
      <c r="H15" s="114">
        <f t="shared" si="2"/>
        <v>0.04166666667</v>
      </c>
      <c r="I15" s="114">
        <f t="shared" si="3"/>
        <v>0.5</v>
      </c>
      <c r="J15" s="115">
        <f t="shared" si="4"/>
        <v>0.4583333333</v>
      </c>
      <c r="K15" s="114">
        <f t="shared" si="5"/>
        <v>0</v>
      </c>
      <c r="L15" s="116">
        <f t="shared" si="6"/>
        <v>11</v>
      </c>
      <c r="M15" s="116">
        <f t="shared" si="7"/>
        <v>0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22.5" customHeight="1">
      <c r="A16" s="117"/>
      <c r="B16" s="118">
        <v>2.0</v>
      </c>
      <c r="C16" s="111" t="str">
        <f>VLOOKUP(B16,Employees!A:B,2,FALSE)</f>
        <v>Umesh Kumar</v>
      </c>
      <c r="D16" s="121">
        <v>0.8333333333333334</v>
      </c>
      <c r="E16" s="120"/>
      <c r="F16" s="121"/>
      <c r="G16" s="121">
        <v>0.3333333333333333</v>
      </c>
      <c r="H16" s="114">
        <f t="shared" si="2"/>
        <v>0</v>
      </c>
      <c r="I16" s="114">
        <f t="shared" si="3"/>
        <v>-0.5</v>
      </c>
      <c r="J16" s="115">
        <f t="shared" si="4"/>
        <v>-0.5</v>
      </c>
      <c r="K16" s="114">
        <f t="shared" si="5"/>
        <v>0.04166666667</v>
      </c>
      <c r="L16" s="116">
        <f t="shared" si="6"/>
        <v>11</v>
      </c>
      <c r="M16" s="116">
        <f t="shared" si="7"/>
        <v>1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22.5" customHeight="1">
      <c r="A17" s="117">
        <v>46057.0</v>
      </c>
      <c r="B17" s="118"/>
      <c r="C17" s="111"/>
      <c r="D17" s="119"/>
      <c r="E17" s="121"/>
      <c r="F17" s="120"/>
      <c r="G17" s="118" t="s">
        <v>48</v>
      </c>
      <c r="H17" s="114"/>
      <c r="I17" s="114"/>
      <c r="J17" s="115"/>
      <c r="K17" s="114"/>
      <c r="L17" s="116" t="str">
        <f t="shared" si="6"/>
        <v/>
      </c>
      <c r="M17" s="116" t="str">
        <f t="shared" si="7"/>
        <v/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22.5" customHeight="1">
      <c r="A18" s="117">
        <v>46058.0</v>
      </c>
      <c r="B18" s="118">
        <v>2.0</v>
      </c>
      <c r="C18" s="111" t="str">
        <f>VLOOKUP(B18,Employees!A:B,2,FALSE)</f>
        <v>Umesh Kumar</v>
      </c>
      <c r="D18" s="119">
        <v>0.3333333333333333</v>
      </c>
      <c r="E18" s="120">
        <v>0.5416666666666666</v>
      </c>
      <c r="F18" s="121">
        <v>0.5833333333333334</v>
      </c>
      <c r="G18" s="121">
        <v>0.8333333333333334</v>
      </c>
      <c r="H18" s="114">
        <f t="shared" ref="H18:H29" si="8">F18 - E18</f>
        <v>0.04166666667</v>
      </c>
      <c r="I18" s="114">
        <f t="shared" ref="I18:I29" si="9">G18 - D18</f>
        <v>0.5</v>
      </c>
      <c r="J18" s="115">
        <f t="shared" ref="J18:J29" si="10">I18 - H18</f>
        <v>0.4583333333</v>
      </c>
      <c r="K18" s="114">
        <f t="shared" ref="K18:K29" si="11">MAX(
  0,
  MOD(
    IFERROR(
      J18,
      TIMEVALUE(SUBSTITUTE(J18,CHAR(160),""))
    ),
    1
  ) - TIME(11,0,0)
)
</f>
        <v>0</v>
      </c>
      <c r="L18" s="116">
        <f t="shared" si="6"/>
        <v>11</v>
      </c>
      <c r="M18" s="116">
        <f t="shared" si="7"/>
        <v>0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22.5" customHeight="1">
      <c r="A19" s="117"/>
      <c r="B19" s="118">
        <v>1.0</v>
      </c>
      <c r="C19" s="111" t="str">
        <f>VLOOKUP(B19,Employees!A:B,2,FALSE)</f>
        <v>Rajat Hela</v>
      </c>
      <c r="D19" s="121">
        <v>0.8333333333333334</v>
      </c>
      <c r="E19" s="121"/>
      <c r="F19" s="120"/>
      <c r="G19" s="121">
        <v>0.3333333333333333</v>
      </c>
      <c r="H19" s="114">
        <f t="shared" si="8"/>
        <v>0</v>
      </c>
      <c r="I19" s="114">
        <f t="shared" si="9"/>
        <v>-0.5</v>
      </c>
      <c r="J19" s="115">
        <f t="shared" si="10"/>
        <v>-0.5</v>
      </c>
      <c r="K19" s="114">
        <f t="shared" si="11"/>
        <v>0.04166666667</v>
      </c>
      <c r="L19" s="116">
        <f t="shared" si="6"/>
        <v>11</v>
      </c>
      <c r="M19" s="116">
        <f t="shared" si="7"/>
        <v>1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22.5" customHeight="1">
      <c r="A20" s="117">
        <v>46059.0</v>
      </c>
      <c r="B20" s="118">
        <v>2.0</v>
      </c>
      <c r="C20" s="111" t="str">
        <f>VLOOKUP(B20,Employees!A:B,2,FALSE)</f>
        <v>Umesh Kumar</v>
      </c>
      <c r="D20" s="119">
        <v>0.3333333333333333</v>
      </c>
      <c r="E20" s="120">
        <v>0.5416666666666666</v>
      </c>
      <c r="F20" s="121">
        <v>0.5833333333333334</v>
      </c>
      <c r="G20" s="121">
        <v>0.875</v>
      </c>
      <c r="H20" s="114">
        <f t="shared" si="8"/>
        <v>0.04166666667</v>
      </c>
      <c r="I20" s="114">
        <f t="shared" si="9"/>
        <v>0.5416666667</v>
      </c>
      <c r="J20" s="115">
        <f t="shared" si="10"/>
        <v>0.5</v>
      </c>
      <c r="K20" s="114">
        <f t="shared" si="11"/>
        <v>0.04166666667</v>
      </c>
      <c r="L20" s="116">
        <f t="shared" si="6"/>
        <v>11</v>
      </c>
      <c r="M20" s="116">
        <f t="shared" si="7"/>
        <v>1</v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22.5" customHeight="1">
      <c r="A21" s="117"/>
      <c r="B21" s="118">
        <v>1.0</v>
      </c>
      <c r="C21" s="111" t="str">
        <f>VLOOKUP(B21,Employees!A:B,2,FALSE)</f>
        <v>Rajat Hela</v>
      </c>
      <c r="D21" s="121">
        <v>0.8333333333333334</v>
      </c>
      <c r="E21" s="120"/>
      <c r="F21" s="121"/>
      <c r="G21" s="121">
        <v>0.3333333333333333</v>
      </c>
      <c r="H21" s="114">
        <f t="shared" si="8"/>
        <v>0</v>
      </c>
      <c r="I21" s="114">
        <f t="shared" si="9"/>
        <v>-0.5</v>
      </c>
      <c r="J21" s="115">
        <f t="shared" si="10"/>
        <v>-0.5</v>
      </c>
      <c r="K21" s="114">
        <f t="shared" si="11"/>
        <v>0.04166666667</v>
      </c>
      <c r="L21" s="116">
        <f t="shared" si="6"/>
        <v>11</v>
      </c>
      <c r="M21" s="116">
        <f t="shared" si="7"/>
        <v>1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22.5" customHeight="1">
      <c r="A22" s="117">
        <v>46060.0</v>
      </c>
      <c r="B22" s="118">
        <v>2.0</v>
      </c>
      <c r="C22" s="111" t="str">
        <f>VLOOKUP(B22,Employees!A:B,2,FALSE)</f>
        <v>Umesh Kumar</v>
      </c>
      <c r="D22" s="119">
        <v>0.3333333333333333</v>
      </c>
      <c r="E22" s="120">
        <v>0.5416666666666666</v>
      </c>
      <c r="F22" s="121">
        <v>0.5833333333333334</v>
      </c>
      <c r="G22" s="121">
        <v>0.8333333333333334</v>
      </c>
      <c r="H22" s="114">
        <f t="shared" si="8"/>
        <v>0.04166666667</v>
      </c>
      <c r="I22" s="114">
        <f t="shared" si="9"/>
        <v>0.5</v>
      </c>
      <c r="J22" s="115">
        <f t="shared" si="10"/>
        <v>0.4583333333</v>
      </c>
      <c r="K22" s="114">
        <f t="shared" si="11"/>
        <v>0</v>
      </c>
      <c r="L22" s="116">
        <f t="shared" si="6"/>
        <v>11</v>
      </c>
      <c r="M22" s="116">
        <f t="shared" si="7"/>
        <v>0</v>
      </c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22.5" customHeight="1">
      <c r="A23" s="117"/>
      <c r="B23" s="118">
        <v>1.0</v>
      </c>
      <c r="C23" s="111" t="str">
        <f>VLOOKUP(B23,Employees!A:B,2,FALSE)</f>
        <v>Rajat Hela</v>
      </c>
      <c r="D23" s="121">
        <v>0.8333333333333334</v>
      </c>
      <c r="E23" s="120"/>
      <c r="F23" s="121"/>
      <c r="G23" s="121">
        <v>0.3333333333333333</v>
      </c>
      <c r="H23" s="114">
        <f t="shared" si="8"/>
        <v>0</v>
      </c>
      <c r="I23" s="114">
        <f t="shared" si="9"/>
        <v>-0.5</v>
      </c>
      <c r="J23" s="115">
        <f t="shared" si="10"/>
        <v>-0.5</v>
      </c>
      <c r="K23" s="114">
        <f t="shared" si="11"/>
        <v>0.04166666667</v>
      </c>
      <c r="L23" s="116">
        <f t="shared" si="6"/>
        <v>11</v>
      </c>
      <c r="M23" s="116">
        <f t="shared" si="7"/>
        <v>1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22.5" customHeight="1">
      <c r="A24" s="117">
        <v>46061.0</v>
      </c>
      <c r="B24" s="118">
        <v>2.0</v>
      </c>
      <c r="C24" s="111" t="str">
        <f>VLOOKUP(B24,Employees!A:B,2,FALSE)</f>
        <v>Umesh Kumar</v>
      </c>
      <c r="D24" s="119">
        <v>0.3333333333333333</v>
      </c>
      <c r="E24" s="120">
        <v>0.5416666666666666</v>
      </c>
      <c r="F24" s="121">
        <v>0.5833333333333334</v>
      </c>
      <c r="G24" s="121">
        <v>0.8333333333333334</v>
      </c>
      <c r="H24" s="114">
        <f t="shared" si="8"/>
        <v>0.04166666667</v>
      </c>
      <c r="I24" s="114">
        <f t="shared" si="9"/>
        <v>0.5</v>
      </c>
      <c r="J24" s="115">
        <f t="shared" si="10"/>
        <v>0.4583333333</v>
      </c>
      <c r="K24" s="114">
        <f t="shared" si="11"/>
        <v>0</v>
      </c>
      <c r="L24" s="116">
        <f t="shared" si="6"/>
        <v>11</v>
      </c>
      <c r="M24" s="116">
        <f t="shared" si="7"/>
        <v>0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22.5" customHeight="1">
      <c r="A25" s="117"/>
      <c r="B25" s="118">
        <v>1.0</v>
      </c>
      <c r="C25" s="111" t="str">
        <f>VLOOKUP(B25,Employees!A:B,2,FALSE)</f>
        <v>Rajat Hela</v>
      </c>
      <c r="D25" s="121">
        <v>0.8333333333333334</v>
      </c>
      <c r="E25" s="120"/>
      <c r="F25" s="121"/>
      <c r="G25" s="121">
        <v>0.3333333333333333</v>
      </c>
      <c r="H25" s="114">
        <f t="shared" si="8"/>
        <v>0</v>
      </c>
      <c r="I25" s="114">
        <f t="shared" si="9"/>
        <v>-0.5</v>
      </c>
      <c r="J25" s="115">
        <f t="shared" si="10"/>
        <v>-0.5</v>
      </c>
      <c r="K25" s="114">
        <f t="shared" si="11"/>
        <v>0.04166666667</v>
      </c>
      <c r="L25" s="116">
        <f t="shared" si="6"/>
        <v>11</v>
      </c>
      <c r="M25" s="116">
        <f t="shared" si="7"/>
        <v>1</v>
      </c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22.5" customHeight="1">
      <c r="A26" s="117">
        <v>46062.0</v>
      </c>
      <c r="B26" s="118">
        <v>2.0</v>
      </c>
      <c r="C26" s="111" t="str">
        <f>VLOOKUP(B26,Employees!A:B,2,FALSE)</f>
        <v>Umesh Kumar</v>
      </c>
      <c r="D26" s="119">
        <v>0.3333333333333333</v>
      </c>
      <c r="E26" s="120">
        <v>0.5416666666666666</v>
      </c>
      <c r="F26" s="121">
        <v>0.5833333333333334</v>
      </c>
      <c r="G26" s="121">
        <v>0.8333333333333334</v>
      </c>
      <c r="H26" s="114">
        <f t="shared" si="8"/>
        <v>0.04166666667</v>
      </c>
      <c r="I26" s="114">
        <f t="shared" si="9"/>
        <v>0.5</v>
      </c>
      <c r="J26" s="115">
        <f t="shared" si="10"/>
        <v>0.4583333333</v>
      </c>
      <c r="K26" s="114">
        <f t="shared" si="11"/>
        <v>0</v>
      </c>
      <c r="L26" s="116">
        <f t="shared" si="6"/>
        <v>11</v>
      </c>
      <c r="M26" s="116">
        <f t="shared" si="7"/>
        <v>0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22.5" customHeight="1">
      <c r="A27" s="117"/>
      <c r="B27" s="118">
        <v>1.0</v>
      </c>
      <c r="C27" s="111" t="str">
        <f>VLOOKUP(B27,Employees!A:B,2,FALSE)</f>
        <v>Rajat Hela</v>
      </c>
      <c r="D27" s="121">
        <v>0.8333333333333334</v>
      </c>
      <c r="E27" s="121"/>
      <c r="F27" s="121"/>
      <c r="G27" s="121">
        <v>0.3333333333333333</v>
      </c>
      <c r="H27" s="114">
        <f t="shared" si="8"/>
        <v>0</v>
      </c>
      <c r="I27" s="114">
        <f t="shared" si="9"/>
        <v>-0.5</v>
      </c>
      <c r="J27" s="115">
        <f t="shared" si="10"/>
        <v>-0.5</v>
      </c>
      <c r="K27" s="114">
        <f t="shared" si="11"/>
        <v>0.04166666667</v>
      </c>
      <c r="L27" s="116">
        <f t="shared" si="6"/>
        <v>11</v>
      </c>
      <c r="M27" s="116">
        <f t="shared" si="7"/>
        <v>1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22.5" customHeight="1">
      <c r="A28" s="117">
        <v>46063.0</v>
      </c>
      <c r="B28" s="118">
        <v>2.0</v>
      </c>
      <c r="C28" s="111" t="str">
        <f>VLOOKUP(B28,Employees!A:B,2,FALSE)</f>
        <v>Umesh Kumar</v>
      </c>
      <c r="D28" s="119">
        <v>0.3333333333333333</v>
      </c>
      <c r="E28" s="120">
        <v>0.5416666666666666</v>
      </c>
      <c r="F28" s="121">
        <v>0.5833333333333334</v>
      </c>
      <c r="G28" s="121">
        <v>0.8333333333333334</v>
      </c>
      <c r="H28" s="114">
        <f t="shared" si="8"/>
        <v>0.04166666667</v>
      </c>
      <c r="I28" s="114">
        <f t="shared" si="9"/>
        <v>0.5</v>
      </c>
      <c r="J28" s="115">
        <f t="shared" si="10"/>
        <v>0.4583333333</v>
      </c>
      <c r="K28" s="114">
        <f t="shared" si="11"/>
        <v>0</v>
      </c>
      <c r="L28" s="116">
        <f t="shared" si="6"/>
        <v>11</v>
      </c>
      <c r="M28" s="116">
        <f t="shared" si="7"/>
        <v>0</v>
      </c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22.5" customHeight="1">
      <c r="A29" s="117"/>
      <c r="B29" s="118">
        <v>1.0</v>
      </c>
      <c r="C29" s="111" t="str">
        <f>VLOOKUP(B29,Employees!A:B,2,FALSE)</f>
        <v>Rajat Hela</v>
      </c>
      <c r="D29" s="121">
        <v>0.8333333333333334</v>
      </c>
      <c r="E29" s="121"/>
      <c r="F29" s="121"/>
      <c r="G29" s="121">
        <v>0.3333333333333333</v>
      </c>
      <c r="H29" s="114">
        <f t="shared" si="8"/>
        <v>0</v>
      </c>
      <c r="I29" s="114">
        <f t="shared" si="9"/>
        <v>-0.5</v>
      </c>
      <c r="J29" s="115">
        <f t="shared" si="10"/>
        <v>-0.5</v>
      </c>
      <c r="K29" s="114">
        <f t="shared" si="11"/>
        <v>0.04166666667</v>
      </c>
      <c r="L29" s="116">
        <f t="shared" si="6"/>
        <v>11</v>
      </c>
      <c r="M29" s="116">
        <f t="shared" si="7"/>
        <v>1</v>
      </c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22.5" customHeight="1">
      <c r="A30" s="117">
        <v>46064.0</v>
      </c>
      <c r="B30" s="118">
        <v>2.0</v>
      </c>
      <c r="C30" s="111" t="str">
        <f>VLOOKUP(B30,Employees!A:B,2,FALSE)</f>
        <v>Umesh Kumar</v>
      </c>
      <c r="D30" s="119">
        <v>0.3333333333333333</v>
      </c>
      <c r="E30" s="120">
        <v>0.5416666666666666</v>
      </c>
      <c r="F30" s="121">
        <v>0.5833333333333334</v>
      </c>
      <c r="G30" s="121">
        <v>0.75</v>
      </c>
      <c r="H30" s="122">
        <v>0.0</v>
      </c>
      <c r="I30" s="122">
        <v>0.4166666666666667</v>
      </c>
      <c r="J30" s="123">
        <v>0.375</v>
      </c>
      <c r="K30" s="122">
        <v>0.0</v>
      </c>
      <c r="L30" s="116">
        <f t="shared" si="6"/>
        <v>9</v>
      </c>
      <c r="M30" s="116">
        <f t="shared" si="7"/>
        <v>0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22.5" customHeight="1">
      <c r="A31" s="117">
        <v>46065.0</v>
      </c>
      <c r="B31" s="118">
        <v>1.0</v>
      </c>
      <c r="C31" s="111" t="str">
        <f>VLOOKUP(B31,Employees!A:B,2,FALSE)</f>
        <v>Rajat Hela</v>
      </c>
      <c r="D31" s="119">
        <v>0.3333333333333333</v>
      </c>
      <c r="E31" s="120">
        <v>0.5416666666666666</v>
      </c>
      <c r="F31" s="121">
        <v>0.5833333333333334</v>
      </c>
      <c r="G31" s="121">
        <v>0.8333333333333334</v>
      </c>
      <c r="H31" s="114">
        <f t="shared" ref="H31:H42" si="12">F31 - E31</f>
        <v>0.04166666667</v>
      </c>
      <c r="I31" s="114">
        <f t="shared" ref="I31:I42" si="13">G31 - D31</f>
        <v>0.5</v>
      </c>
      <c r="J31" s="115">
        <f t="shared" ref="J31:J42" si="14">I31 - H31</f>
        <v>0.4583333333</v>
      </c>
      <c r="K31" s="114">
        <f t="shared" ref="K31:K42" si="15">MAX(
  0,
  MOD(
    IFERROR(
      J31,
      TIMEVALUE(SUBSTITUTE(J31,CHAR(160),""))
    ),
    1
  ) - TIME(11,0,0)
)
</f>
        <v>0</v>
      </c>
      <c r="L31" s="116">
        <f t="shared" si="6"/>
        <v>11</v>
      </c>
      <c r="M31" s="116">
        <f t="shared" si="7"/>
        <v>0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22.5" customHeight="1">
      <c r="A32" s="117"/>
      <c r="B32" s="118">
        <v>2.0</v>
      </c>
      <c r="C32" s="111" t="str">
        <f>VLOOKUP(B32,Employees!A:B,2,FALSE)</f>
        <v>Umesh Kumar</v>
      </c>
      <c r="D32" s="121">
        <v>0.8333333333333334</v>
      </c>
      <c r="E32" s="120"/>
      <c r="F32" s="121"/>
      <c r="G32" s="121">
        <v>0.3333333333333333</v>
      </c>
      <c r="H32" s="114">
        <f t="shared" si="12"/>
        <v>0</v>
      </c>
      <c r="I32" s="114">
        <f t="shared" si="13"/>
        <v>-0.5</v>
      </c>
      <c r="J32" s="115">
        <f t="shared" si="14"/>
        <v>-0.5</v>
      </c>
      <c r="K32" s="114">
        <f t="shared" si="15"/>
        <v>0.04166666667</v>
      </c>
      <c r="L32" s="116">
        <f t="shared" si="6"/>
        <v>11</v>
      </c>
      <c r="M32" s="116">
        <f t="shared" si="7"/>
        <v>1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22.5" customHeight="1">
      <c r="A33" s="117">
        <v>46066.0</v>
      </c>
      <c r="B33" s="118">
        <v>1.0</v>
      </c>
      <c r="C33" s="111" t="str">
        <f>VLOOKUP(B33,Employees!A:B,2,FALSE)</f>
        <v>Rajat Hela</v>
      </c>
      <c r="D33" s="119">
        <v>0.3333333333333333</v>
      </c>
      <c r="E33" s="120">
        <v>0.5416666666666666</v>
      </c>
      <c r="F33" s="121">
        <v>0.5833333333333334</v>
      </c>
      <c r="G33" s="121">
        <v>0.8333333333333334</v>
      </c>
      <c r="H33" s="114">
        <f t="shared" si="12"/>
        <v>0.04166666667</v>
      </c>
      <c r="I33" s="114">
        <f t="shared" si="13"/>
        <v>0.5</v>
      </c>
      <c r="J33" s="115">
        <f t="shared" si="14"/>
        <v>0.4583333333</v>
      </c>
      <c r="K33" s="114">
        <f t="shared" si="15"/>
        <v>0</v>
      </c>
      <c r="L33" s="116">
        <f t="shared" si="6"/>
        <v>11</v>
      </c>
      <c r="M33" s="116">
        <f t="shared" si="7"/>
        <v>0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22.5" customHeight="1">
      <c r="A34" s="117"/>
      <c r="B34" s="118">
        <v>2.0</v>
      </c>
      <c r="C34" s="111" t="str">
        <f>VLOOKUP(B34,Employees!A:B,2,FALSE)</f>
        <v>Umesh Kumar</v>
      </c>
      <c r="D34" s="121">
        <v>0.8333333333333334</v>
      </c>
      <c r="E34" s="120"/>
      <c r="F34" s="121"/>
      <c r="G34" s="121">
        <v>0.3333333333333333</v>
      </c>
      <c r="H34" s="114">
        <f t="shared" si="12"/>
        <v>0</v>
      </c>
      <c r="I34" s="114">
        <f t="shared" si="13"/>
        <v>-0.5</v>
      </c>
      <c r="J34" s="115">
        <f t="shared" si="14"/>
        <v>-0.5</v>
      </c>
      <c r="K34" s="114">
        <f t="shared" si="15"/>
        <v>0.04166666667</v>
      </c>
      <c r="L34" s="116">
        <f t="shared" si="6"/>
        <v>11</v>
      </c>
      <c r="M34" s="116">
        <f t="shared" si="7"/>
        <v>1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22.5" customHeight="1">
      <c r="A35" s="117">
        <v>46067.0</v>
      </c>
      <c r="B35" s="118">
        <v>1.0</v>
      </c>
      <c r="C35" s="111" t="str">
        <f>VLOOKUP(B35,Employees!A:B,2,FALSE)</f>
        <v>Rajat Hela</v>
      </c>
      <c r="D35" s="119">
        <v>0.3333333333333333</v>
      </c>
      <c r="E35" s="120">
        <v>0.5416666666666666</v>
      </c>
      <c r="F35" s="121">
        <v>0.5833333333333334</v>
      </c>
      <c r="G35" s="121">
        <v>0.8333333333333334</v>
      </c>
      <c r="H35" s="114">
        <f t="shared" si="12"/>
        <v>0.04166666667</v>
      </c>
      <c r="I35" s="114">
        <f t="shared" si="13"/>
        <v>0.5</v>
      </c>
      <c r="J35" s="115">
        <f t="shared" si="14"/>
        <v>0.4583333333</v>
      </c>
      <c r="K35" s="114">
        <f t="shared" si="15"/>
        <v>0</v>
      </c>
      <c r="L35" s="116">
        <f t="shared" si="6"/>
        <v>11</v>
      </c>
      <c r="M35" s="116">
        <f t="shared" si="7"/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22.5" customHeight="1">
      <c r="A36" s="117"/>
      <c r="B36" s="118">
        <v>2.0</v>
      </c>
      <c r="C36" s="111" t="str">
        <f>VLOOKUP(B36,Employees!A:B,2,FALSE)</f>
        <v>Umesh Kumar</v>
      </c>
      <c r="D36" s="121">
        <v>0.8333333333333334</v>
      </c>
      <c r="E36" s="120"/>
      <c r="F36" s="121"/>
      <c r="G36" s="121">
        <v>0.3333333333333333</v>
      </c>
      <c r="H36" s="114">
        <f t="shared" si="12"/>
        <v>0</v>
      </c>
      <c r="I36" s="114">
        <f t="shared" si="13"/>
        <v>-0.5</v>
      </c>
      <c r="J36" s="115">
        <f t="shared" si="14"/>
        <v>-0.5</v>
      </c>
      <c r="K36" s="114">
        <f t="shared" si="15"/>
        <v>0.04166666667</v>
      </c>
      <c r="L36" s="116">
        <f t="shared" si="6"/>
        <v>11</v>
      </c>
      <c r="M36" s="116">
        <f t="shared" si="7"/>
        <v>1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22.5" customHeight="1">
      <c r="A37" s="117">
        <v>46068.0</v>
      </c>
      <c r="B37" s="118">
        <v>1.0</v>
      </c>
      <c r="C37" s="111" t="str">
        <f>VLOOKUP(B37,Employees!A:B,2,FALSE)</f>
        <v>Rajat Hela</v>
      </c>
      <c r="D37" s="119">
        <v>0.3333333333333333</v>
      </c>
      <c r="E37" s="120">
        <v>0.5416666666666666</v>
      </c>
      <c r="F37" s="121">
        <v>0.5833333333333334</v>
      </c>
      <c r="G37" s="121">
        <v>0.8333333333333334</v>
      </c>
      <c r="H37" s="114">
        <f t="shared" si="12"/>
        <v>0.04166666667</v>
      </c>
      <c r="I37" s="114">
        <f t="shared" si="13"/>
        <v>0.5</v>
      </c>
      <c r="J37" s="115">
        <f t="shared" si="14"/>
        <v>0.4583333333</v>
      </c>
      <c r="K37" s="114">
        <f t="shared" si="15"/>
        <v>0</v>
      </c>
      <c r="L37" s="116">
        <f t="shared" si="6"/>
        <v>11</v>
      </c>
      <c r="M37" s="116">
        <f t="shared" si="7"/>
        <v>0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22.5" customHeight="1">
      <c r="A38" s="117"/>
      <c r="B38" s="118">
        <v>2.0</v>
      </c>
      <c r="C38" s="111" t="str">
        <f>VLOOKUP(B38,Employees!A:B,2,FALSE)</f>
        <v>Umesh Kumar</v>
      </c>
      <c r="D38" s="121">
        <v>0.8333333333333334</v>
      </c>
      <c r="E38" s="121"/>
      <c r="F38" s="121"/>
      <c r="G38" s="121">
        <v>0.3333333333333333</v>
      </c>
      <c r="H38" s="114">
        <f t="shared" si="12"/>
        <v>0</v>
      </c>
      <c r="I38" s="114">
        <f t="shared" si="13"/>
        <v>-0.5</v>
      </c>
      <c r="J38" s="115">
        <f t="shared" si="14"/>
        <v>-0.5</v>
      </c>
      <c r="K38" s="114">
        <f t="shared" si="15"/>
        <v>0.04166666667</v>
      </c>
      <c r="L38" s="116">
        <f t="shared" si="6"/>
        <v>11</v>
      </c>
      <c r="M38" s="116">
        <f t="shared" si="7"/>
        <v>1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22.5" customHeight="1">
      <c r="A39" s="117">
        <v>46069.0</v>
      </c>
      <c r="B39" s="118">
        <v>1.0</v>
      </c>
      <c r="C39" s="111" t="str">
        <f>VLOOKUP(B39,Employees!A:B,2,FALSE)</f>
        <v>Rajat Hela</v>
      </c>
      <c r="D39" s="119">
        <v>0.3333333333333333</v>
      </c>
      <c r="E39" s="120">
        <v>0.5416666666666666</v>
      </c>
      <c r="F39" s="121">
        <v>0.5833333333333334</v>
      </c>
      <c r="G39" s="121">
        <v>0.8333333333333334</v>
      </c>
      <c r="H39" s="114">
        <f t="shared" si="12"/>
        <v>0.04166666667</v>
      </c>
      <c r="I39" s="114">
        <f t="shared" si="13"/>
        <v>0.5</v>
      </c>
      <c r="J39" s="115">
        <f t="shared" si="14"/>
        <v>0.4583333333</v>
      </c>
      <c r="K39" s="114">
        <f t="shared" si="15"/>
        <v>0</v>
      </c>
      <c r="L39" s="116">
        <f t="shared" si="6"/>
        <v>11</v>
      </c>
      <c r="M39" s="116">
        <f t="shared" si="7"/>
        <v>0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22.5" customHeight="1">
      <c r="A40" s="117"/>
      <c r="B40" s="118">
        <v>2.0</v>
      </c>
      <c r="C40" s="111" t="str">
        <f>VLOOKUP(B40,Employees!A:B,2,FALSE)</f>
        <v>Umesh Kumar</v>
      </c>
      <c r="D40" s="121">
        <v>0.8333333333333334</v>
      </c>
      <c r="E40" s="121"/>
      <c r="F40" s="121"/>
      <c r="G40" s="121">
        <v>0.3333333333333333</v>
      </c>
      <c r="H40" s="114">
        <f t="shared" si="12"/>
        <v>0</v>
      </c>
      <c r="I40" s="114">
        <f t="shared" si="13"/>
        <v>-0.5</v>
      </c>
      <c r="J40" s="115">
        <f t="shared" si="14"/>
        <v>-0.5</v>
      </c>
      <c r="K40" s="114">
        <f t="shared" si="15"/>
        <v>0.04166666667</v>
      </c>
      <c r="L40" s="116">
        <f t="shared" si="6"/>
        <v>11</v>
      </c>
      <c r="M40" s="116">
        <f t="shared" si="7"/>
        <v>1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117">
        <v>46070.0</v>
      </c>
      <c r="B41" s="118">
        <v>1.0</v>
      </c>
      <c r="C41" s="111" t="str">
        <f>VLOOKUP(B41,Employees!A:B,2,FALSE)</f>
        <v>Rajat Hela</v>
      </c>
      <c r="D41" s="119">
        <v>0.3333333333333333</v>
      </c>
      <c r="E41" s="120">
        <v>0.5416666666666666</v>
      </c>
      <c r="F41" s="121">
        <v>0.5833333333333334</v>
      </c>
      <c r="G41" s="121">
        <v>0.8333333333333334</v>
      </c>
      <c r="H41" s="114">
        <f t="shared" si="12"/>
        <v>0.04166666667</v>
      </c>
      <c r="I41" s="114">
        <f t="shared" si="13"/>
        <v>0.5</v>
      </c>
      <c r="J41" s="115">
        <f t="shared" si="14"/>
        <v>0.4583333333</v>
      </c>
      <c r="K41" s="114">
        <f t="shared" si="15"/>
        <v>0</v>
      </c>
      <c r="L41" s="116">
        <f t="shared" si="6"/>
        <v>11</v>
      </c>
      <c r="M41" s="116">
        <f t="shared" si="7"/>
        <v>0</v>
      </c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117"/>
      <c r="B42" s="118">
        <v>2.0</v>
      </c>
      <c r="C42" s="111" t="str">
        <f>VLOOKUP(B42,Employees!A:B,2,FALSE)</f>
        <v>Umesh Kumar</v>
      </c>
      <c r="D42" s="121">
        <v>0.8333333333333334</v>
      </c>
      <c r="E42" s="120"/>
      <c r="F42" s="121"/>
      <c r="G42" s="121">
        <v>0.3333333333333333</v>
      </c>
      <c r="H42" s="114">
        <f t="shared" si="12"/>
        <v>0</v>
      </c>
      <c r="I42" s="114">
        <f t="shared" si="13"/>
        <v>-0.5</v>
      </c>
      <c r="J42" s="115">
        <f t="shared" si="14"/>
        <v>-0.5</v>
      </c>
      <c r="K42" s="114">
        <f t="shared" si="15"/>
        <v>0.04166666667</v>
      </c>
      <c r="L42" s="116">
        <f t="shared" si="6"/>
        <v>11</v>
      </c>
      <c r="M42" s="116">
        <f t="shared" si="7"/>
        <v>1</v>
      </c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117">
        <v>46071.0</v>
      </c>
      <c r="B43" s="118">
        <v>2.0</v>
      </c>
      <c r="C43" s="111" t="str">
        <f>VLOOKUP(B43,Employees!A:B,2,FALSE)</f>
        <v>Umesh Kumar</v>
      </c>
      <c r="D43" s="119">
        <v>0.3333333333333333</v>
      </c>
      <c r="E43" s="120">
        <v>0.5416666666666666</v>
      </c>
      <c r="F43" s="120">
        <v>0.07291666666666667</v>
      </c>
      <c r="G43" s="121">
        <v>0.7708333333333334</v>
      </c>
      <c r="H43" s="122">
        <v>0.0</v>
      </c>
      <c r="I43" s="122">
        <v>0.4375</v>
      </c>
      <c r="J43" s="123">
        <v>0.3958333333333333</v>
      </c>
      <c r="K43" s="122">
        <v>0.0</v>
      </c>
      <c r="L43" s="116">
        <f t="shared" si="6"/>
        <v>9.3</v>
      </c>
      <c r="M43" s="116">
        <f t="shared" si="7"/>
        <v>0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117">
        <v>46072.0</v>
      </c>
      <c r="B44" s="118">
        <v>2.0</v>
      </c>
      <c r="C44" s="111" t="str">
        <f>VLOOKUP(B44,Employees!A:B,2,FALSE)</f>
        <v>Umesh Kumar</v>
      </c>
      <c r="D44" s="119">
        <v>0.3333333333333333</v>
      </c>
      <c r="E44" s="120">
        <v>0.5729166666666666</v>
      </c>
      <c r="F44" s="120">
        <v>0.6145833333333334</v>
      </c>
      <c r="G44" s="121">
        <v>0.8333333333333334</v>
      </c>
      <c r="H44" s="114">
        <f t="shared" ref="H44:H55" si="16">F44 - E44</f>
        <v>0.04166666667</v>
      </c>
      <c r="I44" s="114">
        <f t="shared" ref="I44:I55" si="17">G44 - D44</f>
        <v>0.5</v>
      </c>
      <c r="J44" s="115">
        <f t="shared" ref="J44:J55" si="18">I44 - H44</f>
        <v>0.4583333333</v>
      </c>
      <c r="K44" s="114">
        <f t="shared" ref="K44:K55" si="19">MAX(
  0,
  MOD(
    IFERROR(
      J44,
      TIMEVALUE(SUBSTITUTE(J44,CHAR(160),""))
    ),
    1
  ) - TIME(11,0,0)
)
</f>
        <v>0</v>
      </c>
      <c r="L44" s="116">
        <f t="shared" si="6"/>
        <v>11</v>
      </c>
      <c r="M44" s="116">
        <f t="shared" si="7"/>
        <v>0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117"/>
      <c r="B45" s="118">
        <v>1.0</v>
      </c>
      <c r="C45" s="111" t="str">
        <f>VLOOKUP(B45,Employees!A:B,2,FALSE)</f>
        <v>Rajat Hela</v>
      </c>
      <c r="D45" s="121">
        <v>0.8333333333333334</v>
      </c>
      <c r="E45" s="121"/>
      <c r="F45" s="121"/>
      <c r="G45" s="121">
        <v>0.3333333333333333</v>
      </c>
      <c r="H45" s="114">
        <f t="shared" si="16"/>
        <v>0</v>
      </c>
      <c r="I45" s="114">
        <f t="shared" si="17"/>
        <v>-0.5</v>
      </c>
      <c r="J45" s="115">
        <f t="shared" si="18"/>
        <v>-0.5</v>
      </c>
      <c r="K45" s="114">
        <f t="shared" si="19"/>
        <v>0.04166666667</v>
      </c>
      <c r="L45" s="116">
        <f t="shared" si="6"/>
        <v>11</v>
      </c>
      <c r="M45" s="116">
        <f t="shared" si="7"/>
        <v>1</v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117">
        <v>46073.0</v>
      </c>
      <c r="B46" s="118">
        <v>2.0</v>
      </c>
      <c r="C46" s="111" t="str">
        <f>VLOOKUP(B46,Employees!A:B,2,FALSE)</f>
        <v>Umesh Kumar</v>
      </c>
      <c r="D46" s="119">
        <v>0.3333333333333333</v>
      </c>
      <c r="E46" s="120">
        <v>0.5416666666666666</v>
      </c>
      <c r="F46" s="121">
        <v>0.5833333333333334</v>
      </c>
      <c r="G46" s="121">
        <v>0.8333333333333334</v>
      </c>
      <c r="H46" s="114">
        <f t="shared" si="16"/>
        <v>0.04166666667</v>
      </c>
      <c r="I46" s="114">
        <f t="shared" si="17"/>
        <v>0.5</v>
      </c>
      <c r="J46" s="115">
        <f t="shared" si="18"/>
        <v>0.4583333333</v>
      </c>
      <c r="K46" s="114">
        <f t="shared" si="19"/>
        <v>0</v>
      </c>
      <c r="L46" s="116">
        <f t="shared" si="6"/>
        <v>11</v>
      </c>
      <c r="M46" s="116">
        <f t="shared" si="7"/>
        <v>0</v>
      </c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117"/>
      <c r="B47" s="118">
        <v>1.0</v>
      </c>
      <c r="C47" s="111" t="str">
        <f>VLOOKUP(B47,Employees!A:B,2,FALSE)</f>
        <v>Rajat Hela</v>
      </c>
      <c r="D47" s="121">
        <v>0.8333333333333334</v>
      </c>
      <c r="E47" s="121"/>
      <c r="F47" s="121"/>
      <c r="G47" s="121">
        <v>0.3333333333333333</v>
      </c>
      <c r="H47" s="114">
        <f t="shared" si="16"/>
        <v>0</v>
      </c>
      <c r="I47" s="114">
        <f t="shared" si="17"/>
        <v>-0.5</v>
      </c>
      <c r="J47" s="115">
        <f t="shared" si="18"/>
        <v>-0.5</v>
      </c>
      <c r="K47" s="114">
        <f t="shared" si="19"/>
        <v>0.04166666667</v>
      </c>
      <c r="L47" s="116">
        <f t="shared" si="6"/>
        <v>11</v>
      </c>
      <c r="M47" s="116">
        <f t="shared" si="7"/>
        <v>1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117">
        <v>46074.0</v>
      </c>
      <c r="B48" s="118">
        <v>2.0</v>
      </c>
      <c r="C48" s="111" t="str">
        <f>VLOOKUP(B48,Employees!A:B,2,FALSE)</f>
        <v>Umesh Kumar</v>
      </c>
      <c r="D48" s="119">
        <v>0.3333333333333333</v>
      </c>
      <c r="E48" s="120">
        <v>0.5416666666666666</v>
      </c>
      <c r="F48" s="121">
        <v>0.5833333333333334</v>
      </c>
      <c r="G48" s="121">
        <v>0.8333333333333334</v>
      </c>
      <c r="H48" s="114">
        <f t="shared" si="16"/>
        <v>0.04166666667</v>
      </c>
      <c r="I48" s="114">
        <f t="shared" si="17"/>
        <v>0.5</v>
      </c>
      <c r="J48" s="115">
        <f t="shared" si="18"/>
        <v>0.4583333333</v>
      </c>
      <c r="K48" s="114">
        <f t="shared" si="19"/>
        <v>0</v>
      </c>
      <c r="L48" s="116">
        <f t="shared" si="6"/>
        <v>11</v>
      </c>
      <c r="M48" s="116">
        <f t="shared" si="7"/>
        <v>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117"/>
      <c r="B49" s="118">
        <v>1.0</v>
      </c>
      <c r="C49" s="111" t="str">
        <f>VLOOKUP(B49,Employees!A:B,2,FALSE)</f>
        <v>Rajat Hela</v>
      </c>
      <c r="D49" s="121">
        <v>0.8333333333333334</v>
      </c>
      <c r="E49" s="113"/>
      <c r="F49" s="121"/>
      <c r="G49" s="121">
        <v>0.3333333333333333</v>
      </c>
      <c r="H49" s="114">
        <f t="shared" si="16"/>
        <v>0</v>
      </c>
      <c r="I49" s="114">
        <f t="shared" si="17"/>
        <v>-0.5</v>
      </c>
      <c r="J49" s="115">
        <f t="shared" si="18"/>
        <v>-0.5</v>
      </c>
      <c r="K49" s="114">
        <f t="shared" si="19"/>
        <v>0.04166666667</v>
      </c>
      <c r="L49" s="116">
        <f t="shared" si="6"/>
        <v>11</v>
      </c>
      <c r="M49" s="116">
        <f t="shared" si="7"/>
        <v>1</v>
      </c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117">
        <v>46075.0</v>
      </c>
      <c r="B50" s="118">
        <v>2.0</v>
      </c>
      <c r="C50" s="111" t="str">
        <f>VLOOKUP(B50,Employees!A:B,2,FALSE)</f>
        <v>Umesh Kumar</v>
      </c>
      <c r="D50" s="119">
        <v>0.3333333333333333</v>
      </c>
      <c r="E50" s="120">
        <v>0.5416666666666666</v>
      </c>
      <c r="F50" s="121">
        <v>0.5833333333333334</v>
      </c>
      <c r="G50" s="121">
        <v>0.8333333333333334</v>
      </c>
      <c r="H50" s="114">
        <f t="shared" si="16"/>
        <v>0.04166666667</v>
      </c>
      <c r="I50" s="114">
        <f t="shared" si="17"/>
        <v>0.5</v>
      </c>
      <c r="J50" s="115">
        <f t="shared" si="18"/>
        <v>0.4583333333</v>
      </c>
      <c r="K50" s="114">
        <f t="shared" si="19"/>
        <v>0</v>
      </c>
      <c r="L50" s="116">
        <f t="shared" si="6"/>
        <v>11</v>
      </c>
      <c r="M50" s="116">
        <f t="shared" si="7"/>
        <v>0</v>
      </c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117"/>
      <c r="B51" s="118">
        <v>1.0</v>
      </c>
      <c r="C51" s="111" t="str">
        <f>VLOOKUP(B51,Employees!A:B,2,FALSE)</f>
        <v>Rajat Hela</v>
      </c>
      <c r="D51" s="121">
        <v>0.8333333333333334</v>
      </c>
      <c r="E51" s="113"/>
      <c r="F51" s="121"/>
      <c r="G51" s="121">
        <v>0.3333333333333333</v>
      </c>
      <c r="H51" s="114">
        <f t="shared" si="16"/>
        <v>0</v>
      </c>
      <c r="I51" s="114">
        <f t="shared" si="17"/>
        <v>-0.5</v>
      </c>
      <c r="J51" s="115">
        <f t="shared" si="18"/>
        <v>-0.5</v>
      </c>
      <c r="K51" s="114">
        <f t="shared" si="19"/>
        <v>0.04166666667</v>
      </c>
      <c r="L51" s="116">
        <f t="shared" si="6"/>
        <v>11</v>
      </c>
      <c r="M51" s="116">
        <f t="shared" si="7"/>
        <v>1</v>
      </c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117">
        <v>46076.0</v>
      </c>
      <c r="B52" s="118">
        <v>2.0</v>
      </c>
      <c r="C52" s="111" t="str">
        <f>VLOOKUP(B52,Employees!A:B,2,FALSE)</f>
        <v>Umesh Kumar</v>
      </c>
      <c r="D52" s="119">
        <v>0.3333333333333333</v>
      </c>
      <c r="E52" s="120">
        <v>0.5416666666666666</v>
      </c>
      <c r="F52" s="121">
        <v>0.5833333333333334</v>
      </c>
      <c r="G52" s="121">
        <v>0.8333333333333334</v>
      </c>
      <c r="H52" s="114">
        <f t="shared" si="16"/>
        <v>0.04166666667</v>
      </c>
      <c r="I52" s="114">
        <f t="shared" si="17"/>
        <v>0.5</v>
      </c>
      <c r="J52" s="115">
        <f t="shared" si="18"/>
        <v>0.4583333333</v>
      </c>
      <c r="K52" s="114">
        <f t="shared" si="19"/>
        <v>0</v>
      </c>
      <c r="L52" s="116">
        <f t="shared" si="6"/>
        <v>11</v>
      </c>
      <c r="M52" s="116">
        <f t="shared" si="7"/>
        <v>0</v>
      </c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117"/>
      <c r="B53" s="118">
        <v>1.0</v>
      </c>
      <c r="C53" s="111" t="str">
        <f>VLOOKUP(B53,Employees!A:B,2,FALSE)</f>
        <v>Rajat Hela</v>
      </c>
      <c r="D53" s="121">
        <v>0.8333333333333334</v>
      </c>
      <c r="E53" s="121"/>
      <c r="F53" s="121"/>
      <c r="G53" s="121">
        <v>0.3333333333333333</v>
      </c>
      <c r="H53" s="114">
        <f t="shared" si="16"/>
        <v>0</v>
      </c>
      <c r="I53" s="114">
        <f t="shared" si="17"/>
        <v>-0.5</v>
      </c>
      <c r="J53" s="115">
        <f t="shared" si="18"/>
        <v>-0.5</v>
      </c>
      <c r="K53" s="114">
        <f t="shared" si="19"/>
        <v>0.04166666667</v>
      </c>
      <c r="L53" s="116">
        <f t="shared" si="6"/>
        <v>11</v>
      </c>
      <c r="M53" s="116">
        <f t="shared" si="7"/>
        <v>1</v>
      </c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117">
        <v>46077.0</v>
      </c>
      <c r="B54" s="118">
        <v>2.0</v>
      </c>
      <c r="C54" s="111" t="str">
        <f>VLOOKUP(B54,Employees!A:B,2,FALSE)</f>
        <v>Umesh Kumar</v>
      </c>
      <c r="D54" s="119">
        <v>0.3333333333333333</v>
      </c>
      <c r="E54" s="120">
        <v>0.5416666666666666</v>
      </c>
      <c r="F54" s="121">
        <v>0.5833333333333334</v>
      </c>
      <c r="G54" s="121">
        <v>0.8333333333333334</v>
      </c>
      <c r="H54" s="114">
        <f t="shared" si="16"/>
        <v>0.04166666667</v>
      </c>
      <c r="I54" s="114">
        <f t="shared" si="17"/>
        <v>0.5</v>
      </c>
      <c r="J54" s="115">
        <f t="shared" si="18"/>
        <v>0.4583333333</v>
      </c>
      <c r="K54" s="114">
        <f t="shared" si="19"/>
        <v>0</v>
      </c>
      <c r="L54" s="116">
        <f t="shared" si="6"/>
        <v>11</v>
      </c>
      <c r="M54" s="116">
        <f t="shared" si="7"/>
        <v>0</v>
      </c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117"/>
      <c r="B55" s="118">
        <v>1.0</v>
      </c>
      <c r="C55" s="111" t="str">
        <f>VLOOKUP(B55,Employees!A:B,2,FALSE)</f>
        <v>Rajat Hela</v>
      </c>
      <c r="D55" s="121">
        <v>0.8333333333333334</v>
      </c>
      <c r="E55" s="121"/>
      <c r="F55" s="121"/>
      <c r="G55" s="121">
        <v>0.375</v>
      </c>
      <c r="H55" s="114">
        <f t="shared" si="16"/>
        <v>0</v>
      </c>
      <c r="I55" s="114">
        <f t="shared" si="17"/>
        <v>-0.4583333333</v>
      </c>
      <c r="J55" s="115">
        <f t="shared" si="18"/>
        <v>-0.4583333333</v>
      </c>
      <c r="K55" s="114">
        <f t="shared" si="19"/>
        <v>0.08333333333</v>
      </c>
      <c r="L55" s="116">
        <f t="shared" si="6"/>
        <v>11</v>
      </c>
      <c r="M55" s="116">
        <f t="shared" si="7"/>
        <v>2</v>
      </c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117">
        <v>46078.0</v>
      </c>
      <c r="B56" s="118"/>
      <c r="C56" s="111"/>
      <c r="D56" s="119"/>
      <c r="E56" s="121"/>
      <c r="F56" s="121"/>
      <c r="G56" s="118" t="s">
        <v>48</v>
      </c>
      <c r="H56" s="114"/>
      <c r="I56" s="114"/>
      <c r="J56" s="115"/>
      <c r="K56" s="114"/>
      <c r="L56" s="116" t="str">
        <f t="shared" si="6"/>
        <v/>
      </c>
      <c r="M56" s="116" t="str">
        <f t="shared" si="7"/>
        <v/>
      </c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117">
        <v>46079.0</v>
      </c>
      <c r="B57" s="118">
        <v>1.0</v>
      </c>
      <c r="C57" s="111" t="str">
        <f>VLOOKUP(B57,Employees!A:B,2,FALSE)</f>
        <v>Rajat Hela</v>
      </c>
      <c r="D57" s="119">
        <v>0.3333333333333333</v>
      </c>
      <c r="E57" s="120">
        <v>0.5416666666666666</v>
      </c>
      <c r="F57" s="121">
        <v>0.5833333333333334</v>
      </c>
      <c r="G57" s="121">
        <v>0.8333333333333334</v>
      </c>
      <c r="H57" s="114">
        <f t="shared" ref="H57:H62" si="20">F57 - E57</f>
        <v>0.04166666667</v>
      </c>
      <c r="I57" s="114">
        <f t="shared" ref="I57:I62" si="21">G57 - D57</f>
        <v>0.5</v>
      </c>
      <c r="J57" s="115">
        <f t="shared" ref="J57:J62" si="22">I57 - H57</f>
        <v>0.4583333333</v>
      </c>
      <c r="K57" s="114">
        <f t="shared" ref="K57:K62" si="23">MAX(
  0,
  MOD(
    IFERROR(
      J57,
      TIMEVALUE(SUBSTITUTE(J57,CHAR(160),""))
    ),
    1
  ) - TIME(11,0,0)
)
</f>
        <v>0</v>
      </c>
      <c r="L57" s="116">
        <f t="shared" si="6"/>
        <v>11</v>
      </c>
      <c r="M57" s="116">
        <f t="shared" si="7"/>
        <v>0</v>
      </c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117"/>
      <c r="B58" s="118">
        <v>2.0</v>
      </c>
      <c r="C58" s="111" t="str">
        <f>VLOOKUP(B58,Employees!A:B,2,FALSE)</f>
        <v>Umesh Kumar</v>
      </c>
      <c r="D58" s="121">
        <v>0.8333333333333334</v>
      </c>
      <c r="E58" s="121"/>
      <c r="F58" s="121"/>
      <c r="G58" s="121">
        <v>0.3333333333333333</v>
      </c>
      <c r="H58" s="114">
        <f t="shared" si="20"/>
        <v>0</v>
      </c>
      <c r="I58" s="114">
        <f t="shared" si="21"/>
        <v>-0.5</v>
      </c>
      <c r="J58" s="115">
        <f t="shared" si="22"/>
        <v>-0.5</v>
      </c>
      <c r="K58" s="114">
        <f t="shared" si="23"/>
        <v>0.04166666667</v>
      </c>
      <c r="L58" s="116">
        <f t="shared" si="6"/>
        <v>11</v>
      </c>
      <c r="M58" s="116">
        <f t="shared" si="7"/>
        <v>1</v>
      </c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117">
        <v>46080.0</v>
      </c>
      <c r="B59" s="118">
        <v>1.0</v>
      </c>
      <c r="C59" s="111" t="str">
        <f>VLOOKUP(B59,Employees!A:B,2,FALSE)</f>
        <v>Rajat Hela</v>
      </c>
      <c r="D59" s="119">
        <v>0.3333333333333333</v>
      </c>
      <c r="E59" s="121">
        <v>0.5</v>
      </c>
      <c r="F59" s="121">
        <v>0.5416666666666666</v>
      </c>
      <c r="G59" s="121">
        <v>0.8333333333333334</v>
      </c>
      <c r="H59" s="114">
        <f t="shared" si="20"/>
        <v>0.04166666667</v>
      </c>
      <c r="I59" s="114">
        <f t="shared" si="21"/>
        <v>0.5</v>
      </c>
      <c r="J59" s="115">
        <f t="shared" si="22"/>
        <v>0.4583333333</v>
      </c>
      <c r="K59" s="114">
        <f t="shared" si="23"/>
        <v>0</v>
      </c>
      <c r="L59" s="116">
        <f t="shared" si="6"/>
        <v>11</v>
      </c>
      <c r="M59" s="116">
        <f t="shared" si="7"/>
        <v>0</v>
      </c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117"/>
      <c r="B60" s="118">
        <v>2.0</v>
      </c>
      <c r="C60" s="111" t="str">
        <f>VLOOKUP(B60,Employees!A:B,2,FALSE)</f>
        <v>Umesh Kumar</v>
      </c>
      <c r="D60" s="121">
        <v>0.8333333333333334</v>
      </c>
      <c r="E60" s="121"/>
      <c r="F60" s="121"/>
      <c r="G60" s="121">
        <v>1.0</v>
      </c>
      <c r="H60" s="114">
        <f t="shared" si="20"/>
        <v>0</v>
      </c>
      <c r="I60" s="114">
        <f t="shared" si="21"/>
        <v>0.1666666667</v>
      </c>
      <c r="J60" s="115">
        <f t="shared" si="22"/>
        <v>0.1666666667</v>
      </c>
      <c r="K60" s="114">
        <f t="shared" si="23"/>
        <v>0</v>
      </c>
      <c r="L60" s="116">
        <f t="shared" si="6"/>
        <v>4</v>
      </c>
      <c r="M60" s="116">
        <f t="shared" si="7"/>
        <v>0</v>
      </c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117">
        <v>46081.0</v>
      </c>
      <c r="B61" s="118">
        <v>1.0</v>
      </c>
      <c r="C61" s="111" t="str">
        <f>VLOOKUP(B61,Employees!A:B,2,FALSE)</f>
        <v>Rajat Hela</v>
      </c>
      <c r="D61" s="119">
        <v>0.3333333333333333</v>
      </c>
      <c r="E61" s="120">
        <v>0.5416666666666666</v>
      </c>
      <c r="F61" s="121">
        <v>0.5833333333333334</v>
      </c>
      <c r="G61" s="121">
        <v>0.8333333333333334</v>
      </c>
      <c r="H61" s="114">
        <f t="shared" si="20"/>
        <v>0.04166666667</v>
      </c>
      <c r="I61" s="114">
        <f t="shared" si="21"/>
        <v>0.5</v>
      </c>
      <c r="J61" s="115">
        <f t="shared" si="22"/>
        <v>0.4583333333</v>
      </c>
      <c r="K61" s="114">
        <f t="shared" si="23"/>
        <v>0</v>
      </c>
      <c r="L61" s="116">
        <f t="shared" si="6"/>
        <v>11</v>
      </c>
      <c r="M61" s="116">
        <f t="shared" si="7"/>
        <v>0</v>
      </c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117"/>
      <c r="B62" s="118">
        <v>2.0</v>
      </c>
      <c r="C62" s="111" t="str">
        <f>VLOOKUP(B62,Employees!A:B,2,FALSE)</f>
        <v>Umesh Kumar</v>
      </c>
      <c r="D62" s="121">
        <v>0.8333333333333334</v>
      </c>
      <c r="E62" s="121"/>
      <c r="F62" s="121"/>
      <c r="G62" s="121">
        <v>0.3333333333333333</v>
      </c>
      <c r="H62" s="114">
        <f t="shared" si="20"/>
        <v>0</v>
      </c>
      <c r="I62" s="114">
        <f t="shared" si="21"/>
        <v>-0.5</v>
      </c>
      <c r="J62" s="115">
        <f t="shared" si="22"/>
        <v>-0.5</v>
      </c>
      <c r="K62" s="114">
        <f t="shared" si="23"/>
        <v>0.04166666667</v>
      </c>
      <c r="L62" s="116">
        <f t="shared" si="6"/>
        <v>11</v>
      </c>
      <c r="M62" s="116">
        <f t="shared" si="7"/>
        <v>1</v>
      </c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117"/>
      <c r="B63" s="118"/>
      <c r="C63" s="111"/>
      <c r="D63" s="119"/>
      <c r="E63" s="121"/>
      <c r="F63" s="121"/>
      <c r="G63" s="121"/>
      <c r="H63" s="114"/>
      <c r="I63" s="114"/>
      <c r="J63" s="115"/>
      <c r="K63" s="114"/>
      <c r="L63" s="116" t="str">
        <f t="shared" si="6"/>
        <v/>
      </c>
      <c r="M63" s="116" t="str">
        <f t="shared" si="7"/>
        <v/>
      </c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124"/>
      <c r="B64" s="124"/>
      <c r="C64" s="124"/>
      <c r="D64" s="124"/>
      <c r="E64" s="124"/>
      <c r="F64" s="124"/>
      <c r="G64" s="124"/>
      <c r="H64" s="124"/>
      <c r="I64" s="125"/>
      <c r="J64" s="124"/>
      <c r="K64" s="124"/>
      <c r="L64" s="63"/>
      <c r="M64" s="64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6"/>
      <c r="J65" s="63"/>
      <c r="K65" s="63"/>
      <c r="L65" s="63"/>
      <c r="M65" s="64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6"/>
      <c r="J66" s="63"/>
      <c r="K66" s="63"/>
      <c r="L66" s="63"/>
      <c r="M66" s="64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6"/>
      <c r="J67" s="63"/>
      <c r="K67" s="63"/>
      <c r="L67" s="63"/>
      <c r="M67" s="64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6"/>
      <c r="J68" s="63"/>
      <c r="K68" s="63"/>
      <c r="L68" s="63"/>
      <c r="M68" s="64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6"/>
      <c r="J69" s="63"/>
      <c r="K69" s="63"/>
      <c r="L69" s="63"/>
      <c r="M69" s="64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6"/>
      <c r="J70" s="63"/>
      <c r="K70" s="63"/>
      <c r="L70" s="63"/>
      <c r="M70" s="64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6"/>
      <c r="J71" s="63"/>
      <c r="K71" s="63"/>
      <c r="L71" s="63"/>
      <c r="M71" s="64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6"/>
      <c r="J72" s="63"/>
      <c r="K72" s="63"/>
      <c r="L72" s="63"/>
      <c r="M72" s="64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6"/>
      <c r="J73" s="63"/>
      <c r="K73" s="63"/>
      <c r="L73" s="63"/>
      <c r="M73" s="64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6"/>
      <c r="J74" s="63"/>
      <c r="K74" s="63"/>
      <c r="L74" s="63"/>
      <c r="M74" s="64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6"/>
      <c r="J75" s="63"/>
      <c r="K75" s="63"/>
      <c r="L75" s="63"/>
      <c r="M75" s="64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6"/>
      <c r="J76" s="63"/>
      <c r="K76" s="63"/>
      <c r="L76" s="63"/>
      <c r="M76" s="64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6"/>
      <c r="J77" s="63"/>
      <c r="K77" s="63"/>
      <c r="L77" s="63"/>
      <c r="M77" s="64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6"/>
      <c r="J78" s="63"/>
      <c r="K78" s="63"/>
      <c r="L78" s="63"/>
      <c r="M78" s="64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6"/>
      <c r="J79" s="63"/>
      <c r="K79" s="63"/>
      <c r="L79" s="63"/>
      <c r="M79" s="64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6"/>
      <c r="J80" s="63"/>
      <c r="K80" s="63"/>
      <c r="L80" s="63"/>
      <c r="M80" s="64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6"/>
      <c r="J81" s="63"/>
      <c r="K81" s="63"/>
      <c r="L81" s="63"/>
      <c r="M81" s="64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6"/>
      <c r="J82" s="63"/>
      <c r="K82" s="63"/>
      <c r="L82" s="63"/>
      <c r="M82" s="64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6"/>
      <c r="J83" s="63"/>
      <c r="K83" s="63"/>
      <c r="L83" s="63"/>
      <c r="M83" s="64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6"/>
      <c r="J84" s="63"/>
      <c r="K84" s="63"/>
      <c r="L84" s="63"/>
      <c r="M84" s="64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6"/>
      <c r="J85" s="63"/>
      <c r="K85" s="63"/>
      <c r="L85" s="63"/>
      <c r="M85" s="64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6"/>
      <c r="J86" s="63"/>
      <c r="K86" s="63"/>
      <c r="L86" s="63"/>
      <c r="M86" s="64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6"/>
      <c r="J87" s="63"/>
      <c r="K87" s="63"/>
      <c r="L87" s="63"/>
      <c r="M87" s="64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6"/>
      <c r="J88" s="63"/>
      <c r="K88" s="63"/>
      <c r="L88" s="63"/>
      <c r="M88" s="64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6"/>
      <c r="J89" s="63"/>
      <c r="K89" s="63"/>
      <c r="L89" s="63"/>
      <c r="M89" s="64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6"/>
      <c r="J90" s="63"/>
      <c r="K90" s="63"/>
      <c r="L90" s="63"/>
      <c r="M90" s="64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6"/>
      <c r="J91" s="63"/>
      <c r="K91" s="63"/>
      <c r="L91" s="63"/>
      <c r="M91" s="64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6"/>
      <c r="J92" s="63"/>
      <c r="K92" s="63"/>
      <c r="L92" s="63"/>
      <c r="M92" s="64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6"/>
      <c r="J93" s="63"/>
      <c r="K93" s="63"/>
      <c r="L93" s="63"/>
      <c r="M93" s="64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6"/>
      <c r="J94" s="63"/>
      <c r="K94" s="63"/>
      <c r="L94" s="63"/>
      <c r="M94" s="64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6"/>
      <c r="J95" s="63"/>
      <c r="K95" s="63"/>
      <c r="L95" s="63"/>
      <c r="M95" s="64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6"/>
      <c r="J96" s="63"/>
      <c r="K96" s="63"/>
      <c r="L96" s="63"/>
      <c r="M96" s="64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6"/>
      <c r="J97" s="63"/>
      <c r="K97" s="63"/>
      <c r="L97" s="63"/>
      <c r="M97" s="64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6"/>
      <c r="J98" s="63"/>
      <c r="K98" s="63"/>
      <c r="L98" s="63"/>
      <c r="M98" s="64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6"/>
      <c r="J99" s="63"/>
      <c r="K99" s="63"/>
      <c r="L99" s="63"/>
      <c r="M99" s="64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6"/>
      <c r="J100" s="63"/>
      <c r="K100" s="63"/>
      <c r="L100" s="63"/>
      <c r="M100" s="64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6"/>
      <c r="J101" s="63"/>
      <c r="K101" s="63"/>
      <c r="L101" s="63"/>
      <c r="M101" s="64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6"/>
      <c r="J102" s="63"/>
      <c r="K102" s="63"/>
      <c r="L102" s="63"/>
      <c r="M102" s="64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6"/>
      <c r="J103" s="63"/>
      <c r="K103" s="63"/>
      <c r="L103" s="63"/>
      <c r="M103" s="64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6"/>
      <c r="J104" s="63"/>
      <c r="K104" s="63"/>
      <c r="L104" s="63"/>
      <c r="M104" s="64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6"/>
      <c r="J105" s="63"/>
      <c r="K105" s="63"/>
      <c r="L105" s="63"/>
      <c r="M105" s="64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6"/>
      <c r="J106" s="63"/>
      <c r="K106" s="63"/>
      <c r="L106" s="63"/>
      <c r="M106" s="64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6"/>
      <c r="J107" s="63"/>
      <c r="K107" s="63"/>
      <c r="L107" s="63"/>
      <c r="M107" s="64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6"/>
      <c r="J108" s="63"/>
      <c r="K108" s="63"/>
      <c r="L108" s="63"/>
      <c r="M108" s="64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6"/>
      <c r="J109" s="63"/>
      <c r="K109" s="63"/>
      <c r="L109" s="63"/>
      <c r="M109" s="64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6"/>
      <c r="J110" s="63"/>
      <c r="K110" s="63"/>
      <c r="L110" s="63"/>
      <c r="M110" s="64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6"/>
      <c r="J111" s="63"/>
      <c r="K111" s="63"/>
      <c r="L111" s="63"/>
      <c r="M111" s="64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6"/>
      <c r="J112" s="63"/>
      <c r="K112" s="63"/>
      <c r="L112" s="63"/>
      <c r="M112" s="64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6"/>
      <c r="J113" s="63"/>
      <c r="K113" s="63"/>
      <c r="L113" s="63"/>
      <c r="M113" s="64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6"/>
      <c r="J114" s="63"/>
      <c r="K114" s="63"/>
      <c r="L114" s="63"/>
      <c r="M114" s="64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6"/>
      <c r="J115" s="63"/>
      <c r="K115" s="63"/>
      <c r="L115" s="63"/>
      <c r="M115" s="64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6"/>
      <c r="J116" s="63"/>
      <c r="K116" s="63"/>
      <c r="L116" s="63"/>
      <c r="M116" s="64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6"/>
      <c r="J117" s="63"/>
      <c r="K117" s="63"/>
      <c r="L117" s="63"/>
      <c r="M117" s="64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6"/>
      <c r="J118" s="63"/>
      <c r="K118" s="63"/>
      <c r="L118" s="63"/>
      <c r="M118" s="64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6"/>
      <c r="J119" s="63"/>
      <c r="K119" s="63"/>
      <c r="L119" s="63"/>
      <c r="M119" s="64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6"/>
      <c r="J120" s="63"/>
      <c r="K120" s="63"/>
      <c r="L120" s="63"/>
      <c r="M120" s="64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6"/>
      <c r="J121" s="63"/>
      <c r="K121" s="63"/>
      <c r="L121" s="63"/>
      <c r="M121" s="64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6"/>
      <c r="J122" s="63"/>
      <c r="K122" s="63"/>
      <c r="L122" s="63"/>
      <c r="M122" s="64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6"/>
      <c r="J123" s="63"/>
      <c r="K123" s="63"/>
      <c r="L123" s="63"/>
      <c r="M123" s="64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6"/>
      <c r="J124" s="63"/>
      <c r="K124" s="63"/>
      <c r="L124" s="63"/>
      <c r="M124" s="64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6"/>
      <c r="J125" s="63"/>
      <c r="K125" s="63"/>
      <c r="L125" s="63"/>
      <c r="M125" s="64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6"/>
      <c r="J126" s="63"/>
      <c r="K126" s="63"/>
      <c r="L126" s="63"/>
      <c r="M126" s="64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6"/>
      <c r="J127" s="63"/>
      <c r="K127" s="63"/>
      <c r="L127" s="63"/>
      <c r="M127" s="64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6"/>
      <c r="J128" s="63"/>
      <c r="K128" s="63"/>
      <c r="L128" s="63"/>
      <c r="M128" s="64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6"/>
      <c r="J129" s="63"/>
      <c r="K129" s="63"/>
      <c r="L129" s="63"/>
      <c r="M129" s="64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6"/>
      <c r="J130" s="63"/>
      <c r="K130" s="63"/>
      <c r="L130" s="63"/>
      <c r="M130" s="64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6"/>
      <c r="J131" s="63"/>
      <c r="K131" s="63"/>
      <c r="L131" s="63"/>
      <c r="M131" s="64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6"/>
      <c r="J132" s="63"/>
      <c r="K132" s="63"/>
      <c r="L132" s="63"/>
      <c r="M132" s="64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6"/>
      <c r="J133" s="63"/>
      <c r="K133" s="63"/>
      <c r="L133" s="63"/>
      <c r="M133" s="64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6"/>
      <c r="J134" s="63"/>
      <c r="K134" s="63"/>
      <c r="L134" s="63"/>
      <c r="M134" s="64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6"/>
      <c r="J135" s="63"/>
      <c r="K135" s="63"/>
      <c r="L135" s="63"/>
      <c r="M135" s="64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6"/>
      <c r="J136" s="63"/>
      <c r="K136" s="63"/>
      <c r="L136" s="63"/>
      <c r="M136" s="64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6"/>
      <c r="J137" s="63"/>
      <c r="K137" s="63"/>
      <c r="L137" s="63"/>
      <c r="M137" s="64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6"/>
      <c r="J138" s="63"/>
      <c r="K138" s="63"/>
      <c r="L138" s="63"/>
      <c r="M138" s="64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6"/>
      <c r="J139" s="63"/>
      <c r="K139" s="63"/>
      <c r="L139" s="63"/>
      <c r="M139" s="64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6"/>
      <c r="J140" s="63"/>
      <c r="K140" s="63"/>
      <c r="L140" s="63"/>
      <c r="M140" s="64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6"/>
      <c r="J141" s="63"/>
      <c r="K141" s="63"/>
      <c r="L141" s="63"/>
      <c r="M141" s="64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6"/>
      <c r="J142" s="63"/>
      <c r="K142" s="63"/>
      <c r="L142" s="63"/>
      <c r="M142" s="64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6"/>
      <c r="J143" s="63"/>
      <c r="K143" s="63"/>
      <c r="L143" s="63"/>
      <c r="M143" s="64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6"/>
      <c r="J144" s="63"/>
      <c r="K144" s="63"/>
      <c r="L144" s="63"/>
      <c r="M144" s="64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6"/>
      <c r="J145" s="63"/>
      <c r="K145" s="63"/>
      <c r="L145" s="63"/>
      <c r="M145" s="64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6"/>
      <c r="J146" s="63"/>
      <c r="K146" s="63"/>
      <c r="L146" s="63"/>
      <c r="M146" s="64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6"/>
      <c r="J147" s="63"/>
      <c r="K147" s="63"/>
      <c r="L147" s="63"/>
      <c r="M147" s="64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6"/>
      <c r="J148" s="63"/>
      <c r="K148" s="63"/>
      <c r="L148" s="63"/>
      <c r="M148" s="64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6"/>
      <c r="J149" s="63"/>
      <c r="K149" s="63"/>
      <c r="L149" s="63"/>
      <c r="M149" s="64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6"/>
      <c r="J150" s="63"/>
      <c r="K150" s="63"/>
      <c r="L150" s="63"/>
      <c r="M150" s="64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6"/>
      <c r="J151" s="63"/>
      <c r="K151" s="63"/>
      <c r="L151" s="63"/>
      <c r="M151" s="64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6"/>
      <c r="J152" s="63"/>
      <c r="K152" s="63"/>
      <c r="L152" s="63"/>
      <c r="M152" s="64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6"/>
      <c r="J153" s="63"/>
      <c r="K153" s="63"/>
      <c r="L153" s="63"/>
      <c r="M153" s="64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6"/>
      <c r="J154" s="63"/>
      <c r="K154" s="63"/>
      <c r="L154" s="63"/>
      <c r="M154" s="64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6"/>
      <c r="J155" s="63"/>
      <c r="K155" s="63"/>
      <c r="L155" s="63"/>
      <c r="M155" s="64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6"/>
      <c r="J156" s="63"/>
      <c r="K156" s="63"/>
      <c r="L156" s="63"/>
      <c r="M156" s="64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6"/>
      <c r="J157" s="63"/>
      <c r="K157" s="63"/>
      <c r="L157" s="63"/>
      <c r="M157" s="64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6"/>
      <c r="J158" s="63"/>
      <c r="K158" s="63"/>
      <c r="L158" s="63"/>
      <c r="M158" s="64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6"/>
      <c r="J159" s="63"/>
      <c r="K159" s="63"/>
      <c r="L159" s="63"/>
      <c r="M159" s="64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6"/>
      <c r="J160" s="63"/>
      <c r="K160" s="63"/>
      <c r="L160" s="63"/>
      <c r="M160" s="64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6"/>
      <c r="J161" s="63"/>
      <c r="K161" s="63"/>
      <c r="L161" s="63"/>
      <c r="M161" s="64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6"/>
      <c r="J162" s="63"/>
      <c r="K162" s="63"/>
      <c r="L162" s="63"/>
      <c r="M162" s="64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6"/>
      <c r="J163" s="63"/>
      <c r="K163" s="63"/>
      <c r="L163" s="63"/>
      <c r="M163" s="64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6"/>
      <c r="J164" s="63"/>
      <c r="K164" s="63"/>
      <c r="L164" s="63"/>
      <c r="M164" s="64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6"/>
      <c r="J165" s="63"/>
      <c r="K165" s="63"/>
      <c r="L165" s="63"/>
      <c r="M165" s="64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6"/>
      <c r="J166" s="63"/>
      <c r="K166" s="63"/>
      <c r="L166" s="63"/>
      <c r="M166" s="64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6"/>
      <c r="J167" s="63"/>
      <c r="K167" s="63"/>
      <c r="L167" s="63"/>
      <c r="M167" s="64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6"/>
      <c r="J168" s="63"/>
      <c r="K168" s="63"/>
      <c r="L168" s="63"/>
      <c r="M168" s="64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6"/>
      <c r="J169" s="63"/>
      <c r="K169" s="63"/>
      <c r="L169" s="63"/>
      <c r="M169" s="64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6"/>
      <c r="J170" s="63"/>
      <c r="K170" s="63"/>
      <c r="L170" s="63"/>
      <c r="M170" s="64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6"/>
      <c r="J171" s="63"/>
      <c r="K171" s="63"/>
      <c r="L171" s="63"/>
      <c r="M171" s="64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6"/>
      <c r="J172" s="63"/>
      <c r="K172" s="63"/>
      <c r="L172" s="63"/>
      <c r="M172" s="64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6"/>
      <c r="J173" s="63"/>
      <c r="K173" s="63"/>
      <c r="L173" s="63"/>
      <c r="M173" s="64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6"/>
      <c r="J174" s="63"/>
      <c r="K174" s="63"/>
      <c r="L174" s="63"/>
      <c r="M174" s="64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6"/>
      <c r="J175" s="63"/>
      <c r="K175" s="63"/>
      <c r="L175" s="63"/>
      <c r="M175" s="64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6"/>
      <c r="J176" s="63"/>
      <c r="K176" s="63"/>
      <c r="L176" s="63"/>
      <c r="M176" s="64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6"/>
      <c r="J177" s="63"/>
      <c r="K177" s="63"/>
      <c r="L177" s="63"/>
      <c r="M177" s="64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6"/>
      <c r="J178" s="63"/>
      <c r="K178" s="63"/>
      <c r="L178" s="63"/>
      <c r="M178" s="64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6"/>
      <c r="J179" s="63"/>
      <c r="K179" s="63"/>
      <c r="L179" s="63"/>
      <c r="M179" s="64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6"/>
      <c r="J180" s="63"/>
      <c r="K180" s="63"/>
      <c r="L180" s="63"/>
      <c r="M180" s="64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6"/>
      <c r="J181" s="63"/>
      <c r="K181" s="63"/>
      <c r="L181" s="63"/>
      <c r="M181" s="64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6"/>
      <c r="J182" s="63"/>
      <c r="K182" s="63"/>
      <c r="L182" s="63"/>
      <c r="M182" s="64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6"/>
      <c r="J183" s="63"/>
      <c r="K183" s="63"/>
      <c r="L183" s="63"/>
      <c r="M183" s="64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6"/>
      <c r="J184" s="63"/>
      <c r="K184" s="63"/>
      <c r="L184" s="63"/>
      <c r="M184" s="64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6"/>
      <c r="J185" s="63"/>
      <c r="K185" s="63"/>
      <c r="L185" s="63"/>
      <c r="M185" s="64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6"/>
      <c r="J186" s="63"/>
      <c r="K186" s="63"/>
      <c r="L186" s="63"/>
      <c r="M186" s="64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6"/>
      <c r="J187" s="63"/>
      <c r="K187" s="63"/>
      <c r="L187" s="63"/>
      <c r="M187" s="64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6"/>
      <c r="J188" s="63"/>
      <c r="K188" s="63"/>
      <c r="L188" s="63"/>
      <c r="M188" s="64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6"/>
      <c r="J189" s="63"/>
      <c r="K189" s="63"/>
      <c r="L189" s="63"/>
      <c r="M189" s="64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6"/>
      <c r="J190" s="63"/>
      <c r="K190" s="63"/>
      <c r="L190" s="63"/>
      <c r="M190" s="64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6"/>
      <c r="J191" s="63"/>
      <c r="K191" s="63"/>
      <c r="L191" s="63"/>
      <c r="M191" s="64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6"/>
      <c r="J192" s="63"/>
      <c r="K192" s="63"/>
      <c r="L192" s="63"/>
      <c r="M192" s="64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6"/>
      <c r="J193" s="63"/>
      <c r="K193" s="63"/>
      <c r="L193" s="63"/>
      <c r="M193" s="64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6"/>
      <c r="J194" s="63"/>
      <c r="K194" s="63"/>
      <c r="L194" s="63"/>
      <c r="M194" s="64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6"/>
      <c r="J195" s="63"/>
      <c r="K195" s="63"/>
      <c r="L195" s="63"/>
      <c r="M195" s="64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6"/>
      <c r="J196" s="63"/>
      <c r="K196" s="63"/>
      <c r="L196" s="63"/>
      <c r="M196" s="64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6"/>
      <c r="J197" s="63"/>
      <c r="K197" s="63"/>
      <c r="L197" s="63"/>
      <c r="M197" s="64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6"/>
      <c r="J198" s="63"/>
      <c r="K198" s="63"/>
      <c r="L198" s="63"/>
      <c r="M198" s="64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6"/>
      <c r="J199" s="63"/>
      <c r="K199" s="63"/>
      <c r="L199" s="63"/>
      <c r="M199" s="64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6"/>
      <c r="J200" s="63"/>
      <c r="K200" s="63"/>
      <c r="L200" s="63"/>
      <c r="M200" s="64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6"/>
      <c r="J201" s="63"/>
      <c r="K201" s="63"/>
      <c r="L201" s="63"/>
      <c r="M201" s="64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6"/>
      <c r="J202" s="63"/>
      <c r="K202" s="63"/>
      <c r="L202" s="63"/>
      <c r="M202" s="64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6"/>
      <c r="J203" s="63"/>
      <c r="K203" s="63"/>
      <c r="L203" s="63"/>
      <c r="M203" s="64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6"/>
      <c r="J204" s="63"/>
      <c r="K204" s="63"/>
      <c r="L204" s="63"/>
      <c r="M204" s="64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6"/>
      <c r="J205" s="63"/>
      <c r="K205" s="63"/>
      <c r="L205" s="63"/>
      <c r="M205" s="64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6"/>
      <c r="J206" s="63"/>
      <c r="K206" s="63"/>
      <c r="L206" s="63"/>
      <c r="M206" s="64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6"/>
      <c r="J207" s="63"/>
      <c r="K207" s="63"/>
      <c r="L207" s="63"/>
      <c r="M207" s="64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6"/>
      <c r="J208" s="63"/>
      <c r="K208" s="63"/>
      <c r="L208" s="63"/>
      <c r="M208" s="64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6"/>
      <c r="J209" s="63"/>
      <c r="K209" s="63"/>
      <c r="L209" s="63"/>
      <c r="M209" s="64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6"/>
      <c r="J210" s="63"/>
      <c r="K210" s="63"/>
      <c r="L210" s="63"/>
      <c r="M210" s="64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6"/>
      <c r="J211" s="63"/>
      <c r="K211" s="63"/>
      <c r="L211" s="63"/>
      <c r="M211" s="64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6"/>
      <c r="J212" s="63"/>
      <c r="K212" s="63"/>
      <c r="L212" s="63"/>
      <c r="M212" s="64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6"/>
      <c r="J213" s="63"/>
      <c r="K213" s="63"/>
      <c r="L213" s="63"/>
      <c r="M213" s="64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6"/>
      <c r="J214" s="63"/>
      <c r="K214" s="63"/>
      <c r="L214" s="63"/>
      <c r="M214" s="64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6"/>
      <c r="J215" s="63"/>
      <c r="K215" s="63"/>
      <c r="L215" s="63"/>
      <c r="M215" s="64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6"/>
      <c r="J216" s="63"/>
      <c r="K216" s="63"/>
      <c r="L216" s="63"/>
      <c r="M216" s="64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6"/>
      <c r="J217" s="63"/>
      <c r="K217" s="63"/>
      <c r="L217" s="63"/>
      <c r="M217" s="64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6"/>
      <c r="J218" s="63"/>
      <c r="K218" s="63"/>
      <c r="L218" s="63"/>
      <c r="M218" s="64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6"/>
      <c r="J219" s="63"/>
      <c r="K219" s="63"/>
      <c r="L219" s="63"/>
      <c r="M219" s="64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6"/>
      <c r="J220" s="63"/>
      <c r="K220" s="63"/>
      <c r="L220" s="63"/>
      <c r="M220" s="64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6"/>
      <c r="J221" s="63"/>
      <c r="K221" s="63"/>
      <c r="L221" s="63"/>
      <c r="M221" s="64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6"/>
      <c r="J222" s="63"/>
      <c r="K222" s="63"/>
      <c r="L222" s="63"/>
      <c r="M222" s="64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6"/>
      <c r="J223" s="63"/>
      <c r="K223" s="63"/>
      <c r="L223" s="63"/>
      <c r="M223" s="64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6"/>
      <c r="J224" s="63"/>
      <c r="K224" s="63"/>
      <c r="L224" s="63"/>
      <c r="M224" s="64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6"/>
      <c r="J225" s="63"/>
      <c r="K225" s="63"/>
      <c r="L225" s="63"/>
      <c r="M225" s="64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6"/>
      <c r="J226" s="63"/>
      <c r="K226" s="63"/>
      <c r="L226" s="63"/>
      <c r="M226" s="64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6"/>
      <c r="J227" s="63"/>
      <c r="K227" s="63"/>
      <c r="L227" s="63"/>
      <c r="M227" s="64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6"/>
      <c r="J228" s="63"/>
      <c r="K228" s="63"/>
      <c r="L228" s="63"/>
      <c r="M228" s="64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6"/>
      <c r="J229" s="63"/>
      <c r="K229" s="63"/>
      <c r="L229" s="63"/>
      <c r="M229" s="64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6"/>
      <c r="J230" s="63"/>
      <c r="K230" s="63"/>
      <c r="L230" s="63"/>
      <c r="M230" s="64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6"/>
      <c r="J231" s="63"/>
      <c r="K231" s="63"/>
      <c r="L231" s="63"/>
      <c r="M231" s="64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6"/>
      <c r="J232" s="63"/>
      <c r="K232" s="63"/>
      <c r="L232" s="63"/>
      <c r="M232" s="64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6"/>
      <c r="J233" s="63"/>
      <c r="K233" s="63"/>
      <c r="L233" s="63"/>
      <c r="M233" s="64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6"/>
      <c r="J234" s="63"/>
      <c r="K234" s="63"/>
      <c r="L234" s="63"/>
      <c r="M234" s="64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6"/>
      <c r="J235" s="63"/>
      <c r="K235" s="63"/>
      <c r="L235" s="63"/>
      <c r="M235" s="64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6"/>
      <c r="J236" s="63"/>
      <c r="K236" s="63"/>
      <c r="L236" s="63"/>
      <c r="M236" s="64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6"/>
      <c r="J237" s="63"/>
      <c r="K237" s="63"/>
      <c r="L237" s="63"/>
      <c r="M237" s="64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6"/>
      <c r="J238" s="63"/>
      <c r="K238" s="63"/>
      <c r="L238" s="63"/>
      <c r="M238" s="64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6"/>
      <c r="J239" s="63"/>
      <c r="K239" s="63"/>
      <c r="L239" s="63"/>
      <c r="M239" s="64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6"/>
      <c r="J240" s="63"/>
      <c r="K240" s="63"/>
      <c r="L240" s="63"/>
      <c r="M240" s="64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6"/>
      <c r="J241" s="63"/>
      <c r="K241" s="63"/>
      <c r="L241" s="63"/>
      <c r="M241" s="64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6"/>
      <c r="J242" s="63"/>
      <c r="K242" s="63"/>
      <c r="L242" s="63"/>
      <c r="M242" s="64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6"/>
      <c r="J243" s="63"/>
      <c r="K243" s="63"/>
      <c r="L243" s="63"/>
      <c r="M243" s="64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6"/>
      <c r="J244" s="63"/>
      <c r="K244" s="63"/>
      <c r="L244" s="63"/>
      <c r="M244" s="64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6"/>
      <c r="J245" s="63"/>
      <c r="K245" s="63"/>
      <c r="L245" s="63"/>
      <c r="M245" s="64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6"/>
      <c r="J246" s="63"/>
      <c r="K246" s="63"/>
      <c r="L246" s="63"/>
      <c r="M246" s="64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6"/>
      <c r="J247" s="63"/>
      <c r="K247" s="63"/>
      <c r="L247" s="63"/>
      <c r="M247" s="64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6"/>
      <c r="J248" s="63"/>
      <c r="K248" s="63"/>
      <c r="L248" s="63"/>
      <c r="M248" s="64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6"/>
      <c r="J249" s="63"/>
      <c r="K249" s="63"/>
      <c r="L249" s="63"/>
      <c r="M249" s="64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6"/>
      <c r="J250" s="63"/>
      <c r="K250" s="63"/>
      <c r="L250" s="63"/>
      <c r="M250" s="64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6"/>
      <c r="J251" s="63"/>
      <c r="K251" s="63"/>
      <c r="L251" s="63"/>
      <c r="M251" s="64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6"/>
      <c r="J252" s="63"/>
      <c r="K252" s="63"/>
      <c r="L252" s="63"/>
      <c r="M252" s="64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6"/>
      <c r="J253" s="63"/>
      <c r="K253" s="63"/>
      <c r="L253" s="63"/>
      <c r="M253" s="64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6"/>
      <c r="J254" s="63"/>
      <c r="K254" s="63"/>
      <c r="L254" s="63"/>
      <c r="M254" s="64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6"/>
      <c r="J255" s="63"/>
      <c r="K255" s="63"/>
      <c r="L255" s="63"/>
      <c r="M255" s="64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6"/>
      <c r="J256" s="63"/>
      <c r="K256" s="63"/>
      <c r="L256" s="63"/>
      <c r="M256" s="64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6"/>
      <c r="J257" s="63"/>
      <c r="K257" s="63"/>
      <c r="L257" s="63"/>
      <c r="M257" s="64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6"/>
      <c r="J258" s="63"/>
      <c r="K258" s="63"/>
      <c r="L258" s="63"/>
      <c r="M258" s="64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6"/>
      <c r="J259" s="63"/>
      <c r="K259" s="63"/>
      <c r="L259" s="63"/>
      <c r="M259" s="64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6"/>
      <c r="J260" s="63"/>
      <c r="K260" s="63"/>
      <c r="L260" s="63"/>
      <c r="M260" s="64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6"/>
      <c r="J261" s="63"/>
      <c r="K261" s="63"/>
      <c r="L261" s="63"/>
      <c r="M261" s="64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6"/>
      <c r="J262" s="63"/>
      <c r="K262" s="63"/>
      <c r="L262" s="63"/>
      <c r="M262" s="64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6"/>
      <c r="J263" s="63"/>
      <c r="K263" s="63"/>
      <c r="L263" s="63"/>
      <c r="M263" s="64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6"/>
      <c r="J264" s="63"/>
      <c r="K264" s="63"/>
      <c r="L264" s="63"/>
      <c r="M264" s="64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6"/>
      <c r="J265" s="63"/>
      <c r="K265" s="63"/>
      <c r="L265" s="63"/>
      <c r="M265" s="64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6"/>
      <c r="J266" s="63"/>
      <c r="K266" s="63"/>
      <c r="L266" s="63"/>
      <c r="M266" s="64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6"/>
      <c r="J267" s="63"/>
      <c r="K267" s="63"/>
      <c r="L267" s="63"/>
      <c r="M267" s="64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6"/>
      <c r="J268" s="63"/>
      <c r="K268" s="63"/>
      <c r="L268" s="63"/>
      <c r="M268" s="64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6"/>
      <c r="J269" s="63"/>
      <c r="K269" s="63"/>
      <c r="L269" s="63"/>
      <c r="M269" s="64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6"/>
      <c r="J270" s="63"/>
      <c r="K270" s="63"/>
      <c r="L270" s="63"/>
      <c r="M270" s="64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6"/>
      <c r="J271" s="63"/>
      <c r="K271" s="63"/>
      <c r="L271" s="63"/>
      <c r="M271" s="64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6"/>
      <c r="J272" s="63"/>
      <c r="K272" s="63"/>
      <c r="L272" s="63"/>
      <c r="M272" s="64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6"/>
      <c r="J273" s="63"/>
      <c r="K273" s="63"/>
      <c r="L273" s="63"/>
      <c r="M273" s="64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6"/>
      <c r="J274" s="63"/>
      <c r="K274" s="63"/>
      <c r="L274" s="63"/>
      <c r="M274" s="64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6"/>
      <c r="J275" s="63"/>
      <c r="K275" s="63"/>
      <c r="L275" s="63"/>
      <c r="M275" s="64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6"/>
      <c r="J276" s="63"/>
      <c r="K276" s="63"/>
      <c r="L276" s="63"/>
      <c r="M276" s="64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6"/>
      <c r="J277" s="63"/>
      <c r="K277" s="63"/>
      <c r="L277" s="63"/>
      <c r="M277" s="64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6"/>
      <c r="J278" s="63"/>
      <c r="K278" s="63"/>
      <c r="L278" s="63"/>
      <c r="M278" s="64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6"/>
      <c r="J279" s="63"/>
      <c r="K279" s="63"/>
      <c r="L279" s="63"/>
      <c r="M279" s="64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6"/>
      <c r="J280" s="63"/>
      <c r="K280" s="63"/>
      <c r="L280" s="63"/>
      <c r="M280" s="64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6"/>
      <c r="J281" s="63"/>
      <c r="K281" s="63"/>
      <c r="L281" s="63"/>
      <c r="M281" s="64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6"/>
      <c r="J282" s="63"/>
      <c r="K282" s="63"/>
      <c r="L282" s="63"/>
      <c r="M282" s="64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6"/>
      <c r="J283" s="63"/>
      <c r="K283" s="63"/>
      <c r="L283" s="63"/>
      <c r="M283" s="64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6"/>
      <c r="J284" s="63"/>
      <c r="K284" s="63"/>
      <c r="L284" s="63"/>
      <c r="M284" s="64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6"/>
      <c r="J285" s="63"/>
      <c r="K285" s="63"/>
      <c r="L285" s="63"/>
      <c r="M285" s="64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6"/>
      <c r="J286" s="63"/>
      <c r="K286" s="63"/>
      <c r="L286" s="63"/>
      <c r="M286" s="64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6"/>
      <c r="J287" s="63"/>
      <c r="K287" s="63"/>
      <c r="L287" s="63"/>
      <c r="M287" s="64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6"/>
      <c r="J288" s="63"/>
      <c r="K288" s="63"/>
      <c r="L288" s="63"/>
      <c r="M288" s="64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6"/>
      <c r="J289" s="63"/>
      <c r="K289" s="63"/>
      <c r="L289" s="63"/>
      <c r="M289" s="64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6"/>
      <c r="J290" s="63"/>
      <c r="K290" s="63"/>
      <c r="L290" s="63"/>
      <c r="M290" s="64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6"/>
      <c r="J291" s="63"/>
      <c r="K291" s="63"/>
      <c r="L291" s="63"/>
      <c r="M291" s="64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6"/>
      <c r="J292" s="63"/>
      <c r="K292" s="63"/>
      <c r="L292" s="63"/>
      <c r="M292" s="64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6"/>
      <c r="J293" s="63"/>
      <c r="K293" s="63"/>
      <c r="L293" s="63"/>
      <c r="M293" s="64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6"/>
      <c r="J294" s="63"/>
      <c r="K294" s="63"/>
      <c r="L294" s="63"/>
      <c r="M294" s="64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6"/>
      <c r="J295" s="63"/>
      <c r="K295" s="63"/>
      <c r="L295" s="63"/>
      <c r="M295" s="64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6"/>
      <c r="J296" s="63"/>
      <c r="K296" s="63"/>
      <c r="L296" s="63"/>
      <c r="M296" s="64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6"/>
      <c r="J297" s="63"/>
      <c r="K297" s="63"/>
      <c r="L297" s="63"/>
      <c r="M297" s="64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6"/>
      <c r="J298" s="63"/>
      <c r="K298" s="63"/>
      <c r="L298" s="63"/>
      <c r="M298" s="64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6"/>
      <c r="J299" s="63"/>
      <c r="K299" s="63"/>
      <c r="L299" s="63"/>
      <c r="M299" s="64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6"/>
      <c r="J300" s="63"/>
      <c r="K300" s="63"/>
      <c r="L300" s="63"/>
      <c r="M300" s="64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6"/>
      <c r="J301" s="63"/>
      <c r="K301" s="63"/>
      <c r="L301" s="63"/>
      <c r="M301" s="64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6"/>
      <c r="J302" s="63"/>
      <c r="K302" s="63"/>
      <c r="L302" s="63"/>
      <c r="M302" s="64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6"/>
      <c r="J303" s="63"/>
      <c r="K303" s="63"/>
      <c r="L303" s="63"/>
      <c r="M303" s="64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6"/>
      <c r="J304" s="63"/>
      <c r="K304" s="63"/>
      <c r="L304" s="63"/>
      <c r="M304" s="64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6"/>
      <c r="J305" s="63"/>
      <c r="K305" s="63"/>
      <c r="L305" s="63"/>
      <c r="M305" s="64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6"/>
      <c r="J306" s="63"/>
      <c r="K306" s="63"/>
      <c r="L306" s="63"/>
      <c r="M306" s="64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6"/>
      <c r="J307" s="63"/>
      <c r="K307" s="63"/>
      <c r="L307" s="63"/>
      <c r="M307" s="64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6"/>
      <c r="J308" s="63"/>
      <c r="K308" s="63"/>
      <c r="L308" s="63"/>
      <c r="M308" s="64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6"/>
      <c r="J309" s="63"/>
      <c r="K309" s="63"/>
      <c r="L309" s="63"/>
      <c r="M309" s="64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6"/>
      <c r="J310" s="63"/>
      <c r="K310" s="63"/>
      <c r="L310" s="63"/>
      <c r="M310" s="64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6"/>
      <c r="J311" s="63"/>
      <c r="K311" s="63"/>
      <c r="L311" s="63"/>
      <c r="M311" s="64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6"/>
      <c r="J312" s="63"/>
      <c r="K312" s="63"/>
      <c r="L312" s="63"/>
      <c r="M312" s="64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6"/>
      <c r="J313" s="63"/>
      <c r="K313" s="63"/>
      <c r="L313" s="63"/>
      <c r="M313" s="64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6"/>
      <c r="J314" s="63"/>
      <c r="K314" s="63"/>
      <c r="L314" s="63"/>
      <c r="M314" s="64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6"/>
      <c r="J315" s="63"/>
      <c r="K315" s="63"/>
      <c r="L315" s="63"/>
      <c r="M315" s="64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6"/>
      <c r="J316" s="63"/>
      <c r="K316" s="63"/>
      <c r="L316" s="63"/>
      <c r="M316" s="64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6"/>
      <c r="J317" s="63"/>
      <c r="K317" s="63"/>
      <c r="L317" s="63"/>
      <c r="M317" s="64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6"/>
      <c r="J318" s="63"/>
      <c r="K318" s="63"/>
      <c r="L318" s="63"/>
      <c r="M318" s="64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6"/>
      <c r="J319" s="63"/>
      <c r="K319" s="63"/>
      <c r="L319" s="63"/>
      <c r="M319" s="64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6"/>
      <c r="J320" s="63"/>
      <c r="K320" s="63"/>
      <c r="L320" s="63"/>
      <c r="M320" s="64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6"/>
      <c r="J321" s="63"/>
      <c r="K321" s="63"/>
      <c r="L321" s="63"/>
      <c r="M321" s="64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6"/>
      <c r="J322" s="63"/>
      <c r="K322" s="63"/>
      <c r="L322" s="63"/>
      <c r="M322" s="64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6"/>
      <c r="J323" s="63"/>
      <c r="K323" s="63"/>
      <c r="L323" s="63"/>
      <c r="M323" s="64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6"/>
      <c r="J324" s="63"/>
      <c r="K324" s="63"/>
      <c r="L324" s="63"/>
      <c r="M324" s="64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6"/>
      <c r="J325" s="63"/>
      <c r="K325" s="63"/>
      <c r="L325" s="63"/>
      <c r="M325" s="64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6"/>
      <c r="J326" s="63"/>
      <c r="K326" s="63"/>
      <c r="L326" s="63"/>
      <c r="M326" s="64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6"/>
      <c r="J327" s="63"/>
      <c r="K327" s="63"/>
      <c r="L327" s="63"/>
      <c r="M327" s="64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6"/>
      <c r="J328" s="63"/>
      <c r="K328" s="63"/>
      <c r="L328" s="63"/>
      <c r="M328" s="64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6"/>
      <c r="J329" s="63"/>
      <c r="K329" s="63"/>
      <c r="L329" s="63"/>
      <c r="M329" s="64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6"/>
      <c r="J330" s="63"/>
      <c r="K330" s="63"/>
      <c r="L330" s="63"/>
      <c r="M330" s="64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6"/>
      <c r="J331" s="63"/>
      <c r="K331" s="63"/>
      <c r="L331" s="63"/>
      <c r="M331" s="64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6"/>
      <c r="J332" s="63"/>
      <c r="K332" s="63"/>
      <c r="L332" s="63"/>
      <c r="M332" s="64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6"/>
      <c r="J333" s="63"/>
      <c r="K333" s="63"/>
      <c r="L333" s="63"/>
      <c r="M333" s="64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6"/>
      <c r="J334" s="63"/>
      <c r="K334" s="63"/>
      <c r="L334" s="63"/>
      <c r="M334" s="64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6"/>
      <c r="J335" s="63"/>
      <c r="K335" s="63"/>
      <c r="L335" s="63"/>
      <c r="M335" s="64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6"/>
      <c r="J336" s="63"/>
      <c r="K336" s="63"/>
      <c r="L336" s="63"/>
      <c r="M336" s="64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6"/>
      <c r="J337" s="63"/>
      <c r="K337" s="63"/>
      <c r="L337" s="63"/>
      <c r="M337" s="64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6"/>
      <c r="J338" s="63"/>
      <c r="K338" s="63"/>
      <c r="L338" s="63"/>
      <c r="M338" s="64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6"/>
      <c r="J339" s="63"/>
      <c r="K339" s="63"/>
      <c r="L339" s="63"/>
      <c r="M339" s="64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6"/>
      <c r="J340" s="63"/>
      <c r="K340" s="63"/>
      <c r="L340" s="63"/>
      <c r="M340" s="64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6"/>
      <c r="J341" s="63"/>
      <c r="K341" s="63"/>
      <c r="L341" s="63"/>
      <c r="M341" s="64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6"/>
      <c r="J342" s="63"/>
      <c r="K342" s="63"/>
      <c r="L342" s="63"/>
      <c r="M342" s="64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6"/>
      <c r="J343" s="63"/>
      <c r="K343" s="63"/>
      <c r="L343" s="63"/>
      <c r="M343" s="64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6"/>
      <c r="J344" s="63"/>
      <c r="K344" s="63"/>
      <c r="L344" s="63"/>
      <c r="M344" s="64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6"/>
      <c r="J345" s="63"/>
      <c r="K345" s="63"/>
      <c r="L345" s="63"/>
      <c r="M345" s="64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6"/>
      <c r="J346" s="63"/>
      <c r="K346" s="63"/>
      <c r="L346" s="63"/>
      <c r="M346" s="64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6"/>
      <c r="J347" s="63"/>
      <c r="K347" s="63"/>
      <c r="L347" s="63"/>
      <c r="M347" s="64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6"/>
      <c r="J348" s="63"/>
      <c r="K348" s="63"/>
      <c r="L348" s="63"/>
      <c r="M348" s="64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6"/>
      <c r="J349" s="63"/>
      <c r="K349" s="63"/>
      <c r="L349" s="63"/>
      <c r="M349" s="64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6"/>
      <c r="J350" s="63"/>
      <c r="K350" s="63"/>
      <c r="L350" s="63"/>
      <c r="M350" s="64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6"/>
      <c r="J351" s="63"/>
      <c r="K351" s="63"/>
      <c r="L351" s="63"/>
      <c r="M351" s="64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6"/>
      <c r="J352" s="63"/>
      <c r="K352" s="63"/>
      <c r="L352" s="63"/>
      <c r="M352" s="64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6"/>
      <c r="J353" s="63"/>
      <c r="K353" s="63"/>
      <c r="L353" s="63"/>
      <c r="M353" s="64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6"/>
      <c r="J354" s="63"/>
      <c r="K354" s="63"/>
      <c r="L354" s="63"/>
      <c r="M354" s="64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6"/>
      <c r="J355" s="63"/>
      <c r="K355" s="63"/>
      <c r="L355" s="63"/>
      <c r="M355" s="64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6"/>
      <c r="J356" s="63"/>
      <c r="K356" s="63"/>
      <c r="L356" s="63"/>
      <c r="M356" s="64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6"/>
      <c r="J357" s="63"/>
      <c r="K357" s="63"/>
      <c r="L357" s="63"/>
      <c r="M357" s="64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6"/>
      <c r="J358" s="63"/>
      <c r="K358" s="63"/>
      <c r="L358" s="63"/>
      <c r="M358" s="64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6"/>
      <c r="J359" s="63"/>
      <c r="K359" s="63"/>
      <c r="L359" s="63"/>
      <c r="M359" s="64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6"/>
      <c r="J360" s="63"/>
      <c r="K360" s="63"/>
      <c r="L360" s="63"/>
      <c r="M360" s="64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6"/>
      <c r="J361" s="63"/>
      <c r="K361" s="63"/>
      <c r="L361" s="63"/>
      <c r="M361" s="64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6"/>
      <c r="J362" s="63"/>
      <c r="K362" s="63"/>
      <c r="L362" s="63"/>
      <c r="M362" s="64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6"/>
      <c r="J363" s="63"/>
      <c r="K363" s="63"/>
      <c r="L363" s="63"/>
      <c r="M363" s="64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6"/>
      <c r="J364" s="63"/>
      <c r="K364" s="63"/>
      <c r="L364" s="63"/>
      <c r="M364" s="64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6"/>
      <c r="J365" s="63"/>
      <c r="K365" s="63"/>
      <c r="L365" s="63"/>
      <c r="M365" s="64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6"/>
      <c r="J366" s="63"/>
      <c r="K366" s="63"/>
      <c r="L366" s="63"/>
      <c r="M366" s="64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6"/>
      <c r="J367" s="63"/>
      <c r="K367" s="63"/>
      <c r="L367" s="63"/>
      <c r="M367" s="64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6"/>
      <c r="J368" s="63"/>
      <c r="K368" s="63"/>
      <c r="L368" s="63"/>
      <c r="M368" s="64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6"/>
      <c r="J369" s="63"/>
      <c r="K369" s="63"/>
      <c r="L369" s="63"/>
      <c r="M369" s="64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6"/>
      <c r="J370" s="63"/>
      <c r="K370" s="63"/>
      <c r="L370" s="63"/>
      <c r="M370" s="64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6"/>
      <c r="J371" s="63"/>
      <c r="K371" s="63"/>
      <c r="L371" s="63"/>
      <c r="M371" s="64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6"/>
      <c r="J372" s="63"/>
      <c r="K372" s="63"/>
      <c r="L372" s="63"/>
      <c r="M372" s="64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6"/>
      <c r="J373" s="63"/>
      <c r="K373" s="63"/>
      <c r="L373" s="63"/>
      <c r="M373" s="64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6"/>
      <c r="J374" s="63"/>
      <c r="K374" s="63"/>
      <c r="L374" s="63"/>
      <c r="M374" s="64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6"/>
      <c r="J375" s="63"/>
      <c r="K375" s="63"/>
      <c r="L375" s="63"/>
      <c r="M375" s="64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6"/>
      <c r="J376" s="63"/>
      <c r="K376" s="63"/>
      <c r="L376" s="63"/>
      <c r="M376" s="64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6"/>
      <c r="J377" s="63"/>
      <c r="K377" s="63"/>
      <c r="L377" s="63"/>
      <c r="M377" s="64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6"/>
      <c r="J378" s="63"/>
      <c r="K378" s="63"/>
      <c r="L378" s="63"/>
      <c r="M378" s="64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6"/>
      <c r="J379" s="63"/>
      <c r="K379" s="63"/>
      <c r="L379" s="63"/>
      <c r="M379" s="64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6"/>
      <c r="J380" s="63"/>
      <c r="K380" s="63"/>
      <c r="L380" s="63"/>
      <c r="M380" s="64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6"/>
      <c r="J381" s="63"/>
      <c r="K381" s="63"/>
      <c r="L381" s="63"/>
      <c r="M381" s="64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6"/>
      <c r="J382" s="63"/>
      <c r="K382" s="63"/>
      <c r="L382" s="63"/>
      <c r="M382" s="64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6"/>
      <c r="J383" s="63"/>
      <c r="K383" s="63"/>
      <c r="L383" s="63"/>
      <c r="M383" s="64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6"/>
      <c r="J384" s="63"/>
      <c r="K384" s="63"/>
      <c r="L384" s="63"/>
      <c r="M384" s="64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6"/>
      <c r="J385" s="63"/>
      <c r="K385" s="63"/>
      <c r="L385" s="63"/>
      <c r="M385" s="64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6"/>
      <c r="J386" s="63"/>
      <c r="K386" s="63"/>
      <c r="L386" s="63"/>
      <c r="M386" s="64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6"/>
      <c r="J387" s="63"/>
      <c r="K387" s="63"/>
      <c r="L387" s="63"/>
      <c r="M387" s="64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6"/>
      <c r="J388" s="63"/>
      <c r="K388" s="63"/>
      <c r="L388" s="63"/>
      <c r="M388" s="64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6"/>
      <c r="J389" s="63"/>
      <c r="K389" s="63"/>
      <c r="L389" s="63"/>
      <c r="M389" s="64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6"/>
      <c r="J390" s="63"/>
      <c r="K390" s="63"/>
      <c r="L390" s="63"/>
      <c r="M390" s="64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6"/>
      <c r="J391" s="63"/>
      <c r="K391" s="63"/>
      <c r="L391" s="63"/>
      <c r="M391" s="64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6"/>
      <c r="J392" s="63"/>
      <c r="K392" s="63"/>
      <c r="L392" s="63"/>
      <c r="M392" s="64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6"/>
      <c r="J393" s="63"/>
      <c r="K393" s="63"/>
      <c r="L393" s="63"/>
      <c r="M393" s="64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6"/>
      <c r="J394" s="63"/>
      <c r="K394" s="63"/>
      <c r="L394" s="63"/>
      <c r="M394" s="64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6"/>
      <c r="J395" s="63"/>
      <c r="K395" s="63"/>
      <c r="L395" s="63"/>
      <c r="M395" s="64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6"/>
      <c r="J396" s="63"/>
      <c r="K396" s="63"/>
      <c r="L396" s="63"/>
      <c r="M396" s="64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6"/>
      <c r="J397" s="63"/>
      <c r="K397" s="63"/>
      <c r="L397" s="63"/>
      <c r="M397" s="64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6"/>
      <c r="J398" s="63"/>
      <c r="K398" s="63"/>
      <c r="L398" s="63"/>
      <c r="M398" s="64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6"/>
      <c r="J399" s="63"/>
      <c r="K399" s="63"/>
      <c r="L399" s="63"/>
      <c r="M399" s="64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6"/>
      <c r="J400" s="63"/>
      <c r="K400" s="63"/>
      <c r="L400" s="63"/>
      <c r="M400" s="64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6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6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6"/>
      <c r="J403" s="63"/>
      <c r="K403" s="63"/>
      <c r="L403" s="63"/>
      <c r="M403" s="64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6"/>
      <c r="J404" s="63"/>
      <c r="K404" s="63"/>
      <c r="L404" s="63"/>
      <c r="M404" s="64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6"/>
      <c r="J405" s="63"/>
      <c r="K405" s="63"/>
      <c r="L405" s="63"/>
      <c r="M405" s="64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6"/>
      <c r="J406" s="63"/>
      <c r="K406" s="63"/>
      <c r="L406" s="63"/>
      <c r="M406" s="64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6"/>
      <c r="J407" s="63"/>
      <c r="K407" s="63"/>
      <c r="L407" s="63"/>
      <c r="M407" s="64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6"/>
      <c r="J408" s="63"/>
      <c r="K408" s="63"/>
      <c r="L408" s="63"/>
      <c r="M408" s="64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6"/>
      <c r="J409" s="63"/>
      <c r="K409" s="63"/>
      <c r="L409" s="63"/>
      <c r="M409" s="64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6"/>
      <c r="J410" s="63"/>
      <c r="K410" s="63"/>
      <c r="L410" s="63"/>
      <c r="M410" s="64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6"/>
      <c r="J411" s="63"/>
      <c r="K411" s="63"/>
      <c r="L411" s="63"/>
      <c r="M411" s="64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6"/>
      <c r="J412" s="63"/>
      <c r="K412" s="63"/>
      <c r="L412" s="63"/>
      <c r="M412" s="64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6"/>
      <c r="J413" s="63"/>
      <c r="K413" s="63"/>
      <c r="L413" s="63"/>
      <c r="M413" s="64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6"/>
      <c r="J414" s="63"/>
      <c r="K414" s="63"/>
      <c r="L414" s="63"/>
      <c r="M414" s="64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6"/>
      <c r="J415" s="63"/>
      <c r="K415" s="63"/>
      <c r="L415" s="63"/>
      <c r="M415" s="64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6"/>
      <c r="J416" s="63"/>
      <c r="K416" s="63"/>
      <c r="L416" s="63"/>
      <c r="M416" s="64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6"/>
      <c r="J417" s="63"/>
      <c r="K417" s="63"/>
      <c r="L417" s="63"/>
      <c r="M417" s="64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6"/>
      <c r="J418" s="63"/>
      <c r="K418" s="63"/>
      <c r="L418" s="63"/>
      <c r="M418" s="64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6"/>
      <c r="J419" s="63"/>
      <c r="K419" s="63"/>
      <c r="L419" s="63"/>
      <c r="M419" s="64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6"/>
      <c r="J420" s="63"/>
      <c r="K420" s="63"/>
      <c r="L420" s="63"/>
      <c r="M420" s="64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6"/>
      <c r="J421" s="63"/>
      <c r="K421" s="63"/>
      <c r="L421" s="63"/>
      <c r="M421" s="64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6"/>
      <c r="J422" s="63"/>
      <c r="K422" s="63"/>
      <c r="L422" s="63"/>
      <c r="M422" s="64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6"/>
      <c r="J423" s="63"/>
      <c r="K423" s="63"/>
      <c r="L423" s="63"/>
      <c r="M423" s="64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6"/>
      <c r="J424" s="63"/>
      <c r="K424" s="63"/>
      <c r="L424" s="63"/>
      <c r="M424" s="64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6"/>
      <c r="J425" s="63"/>
      <c r="K425" s="63"/>
      <c r="L425" s="63"/>
      <c r="M425" s="64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6"/>
      <c r="J426" s="63"/>
      <c r="K426" s="63"/>
      <c r="L426" s="63"/>
      <c r="M426" s="64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6"/>
      <c r="J427" s="63"/>
      <c r="K427" s="63"/>
      <c r="L427" s="63"/>
      <c r="M427" s="64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6"/>
      <c r="J428" s="63"/>
      <c r="K428" s="63"/>
      <c r="L428" s="63"/>
      <c r="M428" s="64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6"/>
      <c r="J429" s="63"/>
      <c r="K429" s="63"/>
      <c r="L429" s="63"/>
      <c r="M429" s="64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6"/>
      <c r="J430" s="63"/>
      <c r="K430" s="63"/>
      <c r="L430" s="63"/>
      <c r="M430" s="64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6"/>
      <c r="J431" s="63"/>
      <c r="K431" s="63"/>
      <c r="L431" s="63"/>
      <c r="M431" s="64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6"/>
      <c r="J432" s="63"/>
      <c r="K432" s="63"/>
      <c r="L432" s="63"/>
      <c r="M432" s="64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6"/>
      <c r="J433" s="63"/>
      <c r="K433" s="63"/>
      <c r="L433" s="63"/>
      <c r="M433" s="64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6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6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6"/>
      <c r="J436" s="63"/>
      <c r="K436" s="63"/>
      <c r="L436" s="63"/>
      <c r="M436" s="64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6"/>
      <c r="J437" s="63"/>
      <c r="K437" s="63"/>
      <c r="L437" s="63"/>
      <c r="M437" s="64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6"/>
      <c r="J438" s="63"/>
      <c r="K438" s="63"/>
      <c r="L438" s="63"/>
      <c r="M438" s="64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6"/>
      <c r="J439" s="63"/>
      <c r="K439" s="63"/>
      <c r="L439" s="63"/>
      <c r="M439" s="64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6"/>
      <c r="J440" s="63"/>
      <c r="K440" s="63"/>
      <c r="L440" s="63"/>
      <c r="M440" s="64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6"/>
      <c r="J441" s="63"/>
      <c r="K441" s="63"/>
      <c r="L441" s="63"/>
      <c r="M441" s="64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6"/>
      <c r="J442" s="63"/>
      <c r="K442" s="63"/>
      <c r="L442" s="63"/>
      <c r="M442" s="64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6"/>
      <c r="J443" s="63"/>
      <c r="K443" s="63"/>
      <c r="L443" s="63"/>
      <c r="M443" s="64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6"/>
      <c r="J444" s="63"/>
      <c r="K444" s="63"/>
      <c r="L444" s="63"/>
      <c r="M444" s="64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6"/>
      <c r="J445" s="63"/>
      <c r="K445" s="63"/>
      <c r="L445" s="63"/>
      <c r="M445" s="64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6"/>
      <c r="J446" s="63"/>
      <c r="K446" s="63"/>
      <c r="L446" s="63"/>
      <c r="M446" s="64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6"/>
      <c r="J447" s="63"/>
      <c r="K447" s="63"/>
      <c r="L447" s="63"/>
      <c r="M447" s="64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6"/>
      <c r="J448" s="63"/>
      <c r="K448" s="63"/>
      <c r="L448" s="63"/>
      <c r="M448" s="64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6"/>
      <c r="J449" s="63"/>
      <c r="K449" s="63"/>
      <c r="L449" s="63"/>
      <c r="M449" s="64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6"/>
      <c r="J450" s="63"/>
      <c r="K450" s="63"/>
      <c r="L450" s="63"/>
      <c r="M450" s="64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6"/>
      <c r="J451" s="63"/>
      <c r="K451" s="63"/>
      <c r="L451" s="63"/>
      <c r="M451" s="64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6"/>
      <c r="J452" s="63"/>
      <c r="K452" s="63"/>
      <c r="L452" s="63"/>
      <c r="M452" s="64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6"/>
      <c r="J453" s="63"/>
      <c r="K453" s="63"/>
      <c r="L453" s="63"/>
      <c r="M453" s="64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6"/>
      <c r="J454" s="63"/>
      <c r="K454" s="63"/>
      <c r="L454" s="63"/>
      <c r="M454" s="64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6"/>
      <c r="J455" s="63"/>
      <c r="K455" s="63"/>
      <c r="L455" s="63"/>
      <c r="M455" s="64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6"/>
      <c r="J456" s="63"/>
      <c r="K456" s="63"/>
      <c r="L456" s="63"/>
      <c r="M456" s="64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6"/>
      <c r="J457" s="63"/>
      <c r="K457" s="63"/>
      <c r="L457" s="63"/>
      <c r="M457" s="64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6"/>
      <c r="J458" s="63"/>
      <c r="K458" s="63"/>
      <c r="L458" s="63"/>
      <c r="M458" s="64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6"/>
      <c r="J459" s="63"/>
      <c r="K459" s="63"/>
      <c r="L459" s="63"/>
      <c r="M459" s="64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6"/>
      <c r="J460" s="63"/>
      <c r="K460" s="63"/>
      <c r="L460" s="63"/>
      <c r="M460" s="64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6"/>
      <c r="J461" s="63"/>
      <c r="K461" s="63"/>
      <c r="L461" s="63"/>
      <c r="M461" s="64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6"/>
      <c r="J462" s="63"/>
      <c r="K462" s="63"/>
      <c r="L462" s="63"/>
      <c r="M462" s="64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6"/>
      <c r="J463" s="63"/>
      <c r="K463" s="63"/>
      <c r="L463" s="63"/>
      <c r="M463" s="64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6"/>
      <c r="J464" s="63"/>
      <c r="K464" s="63"/>
      <c r="L464" s="63"/>
      <c r="M464" s="64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6"/>
      <c r="J465" s="63"/>
      <c r="K465" s="63"/>
      <c r="L465" s="63"/>
      <c r="M465" s="64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6"/>
      <c r="J466" s="63"/>
      <c r="K466" s="63"/>
      <c r="L466" s="63"/>
      <c r="M466" s="64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6"/>
      <c r="J467" s="63"/>
      <c r="K467" s="63"/>
      <c r="L467" s="63"/>
      <c r="M467" s="64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6"/>
      <c r="J468" s="63"/>
      <c r="K468" s="63"/>
      <c r="L468" s="63"/>
      <c r="M468" s="64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6"/>
      <c r="J469" s="63"/>
      <c r="K469" s="63"/>
      <c r="L469" s="63"/>
      <c r="M469" s="64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6"/>
      <c r="J470" s="63"/>
      <c r="K470" s="63"/>
      <c r="L470" s="63"/>
      <c r="M470" s="64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6"/>
      <c r="J471" s="63"/>
      <c r="K471" s="63"/>
      <c r="L471" s="63"/>
      <c r="M471" s="64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6"/>
      <c r="J472" s="63"/>
      <c r="K472" s="63"/>
      <c r="L472" s="63"/>
      <c r="M472" s="64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6"/>
      <c r="J473" s="63"/>
      <c r="K473" s="63"/>
      <c r="L473" s="63"/>
      <c r="M473" s="64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6"/>
      <c r="J474" s="63"/>
      <c r="K474" s="63"/>
      <c r="L474" s="63"/>
      <c r="M474" s="64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6"/>
      <c r="J475" s="63"/>
      <c r="K475" s="63"/>
      <c r="L475" s="63"/>
      <c r="M475" s="64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6"/>
      <c r="J476" s="63"/>
      <c r="K476" s="63"/>
      <c r="L476" s="63"/>
      <c r="M476" s="64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6"/>
      <c r="J477" s="63"/>
      <c r="K477" s="63"/>
      <c r="L477" s="63"/>
      <c r="M477" s="64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6"/>
      <c r="J478" s="63"/>
      <c r="K478" s="63"/>
      <c r="L478" s="63"/>
      <c r="M478" s="64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6"/>
      <c r="J479" s="63"/>
      <c r="K479" s="63"/>
      <c r="L479" s="63"/>
      <c r="M479" s="64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6"/>
      <c r="J480" s="63"/>
      <c r="K480" s="63"/>
      <c r="L480" s="63"/>
      <c r="M480" s="64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6"/>
      <c r="J481" s="63"/>
      <c r="K481" s="63"/>
      <c r="L481" s="63"/>
      <c r="M481" s="64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6"/>
      <c r="J482" s="63"/>
      <c r="K482" s="63"/>
      <c r="L482" s="63"/>
      <c r="M482" s="64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6"/>
      <c r="J483" s="63"/>
      <c r="K483" s="63"/>
      <c r="L483" s="63"/>
      <c r="M483" s="64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6"/>
      <c r="J484" s="63"/>
      <c r="K484" s="63"/>
      <c r="L484" s="63"/>
      <c r="M484" s="64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6"/>
      <c r="J485" s="63"/>
      <c r="K485" s="63"/>
      <c r="L485" s="63"/>
      <c r="M485" s="64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6"/>
      <c r="J486" s="63"/>
      <c r="K486" s="63"/>
      <c r="L486" s="63"/>
      <c r="M486" s="64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6"/>
      <c r="J487" s="63"/>
      <c r="K487" s="63"/>
      <c r="L487" s="63"/>
      <c r="M487" s="64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6"/>
      <c r="J488" s="63"/>
      <c r="K488" s="63"/>
      <c r="L488" s="63"/>
      <c r="M488" s="64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6"/>
      <c r="J489" s="63"/>
      <c r="K489" s="63"/>
      <c r="L489" s="63"/>
      <c r="M489" s="64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6"/>
      <c r="J490" s="63"/>
      <c r="K490" s="63"/>
      <c r="L490" s="63"/>
      <c r="M490" s="64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6"/>
      <c r="J491" s="63"/>
      <c r="K491" s="63"/>
      <c r="L491" s="63"/>
      <c r="M491" s="64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6"/>
      <c r="J492" s="63"/>
      <c r="K492" s="63"/>
      <c r="L492" s="63"/>
      <c r="M492" s="64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6"/>
      <c r="J493" s="63"/>
      <c r="K493" s="63"/>
      <c r="L493" s="63"/>
      <c r="M493" s="64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6"/>
      <c r="J494" s="63"/>
      <c r="K494" s="63"/>
      <c r="L494" s="63"/>
      <c r="M494" s="64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6"/>
      <c r="J495" s="63"/>
      <c r="K495" s="63"/>
      <c r="L495" s="63"/>
      <c r="M495" s="64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6"/>
      <c r="J496" s="63"/>
      <c r="K496" s="63"/>
      <c r="L496" s="63"/>
      <c r="M496" s="64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6"/>
      <c r="J497" s="63"/>
      <c r="K497" s="63"/>
      <c r="L497" s="63"/>
      <c r="M497" s="64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6"/>
      <c r="J498" s="63"/>
      <c r="K498" s="63"/>
      <c r="L498" s="63"/>
      <c r="M498" s="64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6"/>
      <c r="J499" s="63"/>
      <c r="K499" s="63"/>
      <c r="L499" s="63"/>
      <c r="M499" s="64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6"/>
      <c r="J500" s="63"/>
      <c r="K500" s="63"/>
      <c r="L500" s="63"/>
      <c r="M500" s="64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6"/>
      <c r="J501" s="63"/>
      <c r="K501" s="63"/>
      <c r="L501" s="63"/>
      <c r="M501" s="64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6"/>
      <c r="J502" s="63"/>
      <c r="K502" s="63"/>
      <c r="L502" s="63"/>
      <c r="M502" s="64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6"/>
      <c r="J503" s="63"/>
      <c r="K503" s="63"/>
      <c r="L503" s="63"/>
      <c r="M503" s="64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6"/>
      <c r="J504" s="63"/>
      <c r="K504" s="63"/>
      <c r="L504" s="63"/>
      <c r="M504" s="64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6"/>
      <c r="J505" s="63"/>
      <c r="K505" s="63"/>
      <c r="L505" s="63"/>
      <c r="M505" s="64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6"/>
      <c r="J506" s="63"/>
      <c r="K506" s="63"/>
      <c r="L506" s="63"/>
      <c r="M506" s="64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6"/>
      <c r="J507" s="63"/>
      <c r="K507" s="63"/>
      <c r="L507" s="63"/>
      <c r="M507" s="64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6"/>
      <c r="J508" s="63"/>
      <c r="K508" s="63"/>
      <c r="L508" s="63"/>
      <c r="M508" s="64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6"/>
      <c r="J509" s="63"/>
      <c r="K509" s="63"/>
      <c r="L509" s="63"/>
      <c r="M509" s="64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6"/>
      <c r="J510" s="63"/>
      <c r="K510" s="63"/>
      <c r="L510" s="63"/>
      <c r="M510" s="64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6"/>
      <c r="J511" s="63"/>
      <c r="K511" s="63"/>
      <c r="L511" s="63"/>
      <c r="M511" s="64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6"/>
      <c r="J512" s="63"/>
      <c r="K512" s="63"/>
      <c r="L512" s="63"/>
      <c r="M512" s="64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6"/>
      <c r="J513" s="63"/>
      <c r="K513" s="63"/>
      <c r="L513" s="63"/>
      <c r="M513" s="64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6"/>
      <c r="J514" s="63"/>
      <c r="K514" s="63"/>
      <c r="L514" s="63"/>
      <c r="M514" s="64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6"/>
      <c r="J515" s="63"/>
      <c r="K515" s="63"/>
      <c r="L515" s="63"/>
      <c r="M515" s="64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6"/>
      <c r="J516" s="63"/>
      <c r="K516" s="63"/>
      <c r="L516" s="63"/>
      <c r="M516" s="64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6"/>
      <c r="J517" s="63"/>
      <c r="K517" s="63"/>
      <c r="L517" s="63"/>
      <c r="M517" s="64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6"/>
      <c r="J518" s="63"/>
      <c r="K518" s="63"/>
      <c r="L518" s="63"/>
      <c r="M518" s="64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6"/>
      <c r="J519" s="63"/>
      <c r="K519" s="63"/>
      <c r="L519" s="63"/>
      <c r="M519" s="64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6"/>
      <c r="J520" s="63"/>
      <c r="K520" s="63"/>
      <c r="L520" s="63"/>
      <c r="M520" s="64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6"/>
      <c r="J521" s="63"/>
      <c r="K521" s="63"/>
      <c r="L521" s="63"/>
      <c r="M521" s="64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6"/>
      <c r="J522" s="63"/>
      <c r="K522" s="63"/>
      <c r="L522" s="63"/>
      <c r="M522" s="64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6"/>
      <c r="J523" s="63"/>
      <c r="K523" s="63"/>
      <c r="L523" s="63"/>
      <c r="M523" s="64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6"/>
      <c r="J524" s="63"/>
      <c r="K524" s="63"/>
      <c r="L524" s="63"/>
      <c r="M524" s="64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6"/>
      <c r="J525" s="63"/>
      <c r="K525" s="63"/>
      <c r="L525" s="63"/>
      <c r="M525" s="64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6"/>
      <c r="J526" s="63"/>
      <c r="K526" s="63"/>
      <c r="L526" s="63"/>
      <c r="M526" s="64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6"/>
      <c r="J527" s="63"/>
      <c r="K527" s="63"/>
      <c r="L527" s="63"/>
      <c r="M527" s="64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6"/>
      <c r="J528" s="63"/>
      <c r="K528" s="63"/>
      <c r="L528" s="63"/>
      <c r="M528" s="64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6"/>
      <c r="J529" s="63"/>
      <c r="K529" s="63"/>
      <c r="L529" s="63"/>
      <c r="M529" s="64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6"/>
      <c r="J530" s="63"/>
      <c r="K530" s="63"/>
      <c r="L530" s="63"/>
      <c r="M530" s="64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6"/>
      <c r="J531" s="63"/>
      <c r="K531" s="63"/>
      <c r="L531" s="63"/>
      <c r="M531" s="64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6"/>
      <c r="J532" s="63"/>
      <c r="K532" s="63"/>
      <c r="L532" s="63"/>
      <c r="M532" s="64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6"/>
      <c r="J533" s="63"/>
      <c r="K533" s="63"/>
      <c r="L533" s="63"/>
      <c r="M533" s="64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6"/>
      <c r="J534" s="63"/>
      <c r="K534" s="63"/>
      <c r="L534" s="63"/>
      <c r="M534" s="64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6"/>
      <c r="J535" s="63"/>
      <c r="K535" s="63"/>
      <c r="L535" s="63"/>
      <c r="M535" s="64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6"/>
      <c r="J536" s="63"/>
      <c r="K536" s="63"/>
      <c r="L536" s="63"/>
      <c r="M536" s="64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6"/>
      <c r="J537" s="63"/>
      <c r="K537" s="63"/>
      <c r="L537" s="63"/>
      <c r="M537" s="64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6"/>
      <c r="J538" s="63"/>
      <c r="K538" s="63"/>
      <c r="L538" s="63"/>
      <c r="M538" s="64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6"/>
      <c r="J539" s="63"/>
      <c r="K539" s="63"/>
      <c r="L539" s="63"/>
      <c r="M539" s="64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6"/>
      <c r="J540" s="63"/>
      <c r="K540" s="63"/>
      <c r="L540" s="63"/>
      <c r="M540" s="64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6"/>
      <c r="J541" s="63"/>
      <c r="K541" s="63"/>
      <c r="L541" s="63"/>
      <c r="M541" s="64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6"/>
      <c r="J542" s="63"/>
      <c r="K542" s="63"/>
      <c r="L542" s="63"/>
      <c r="M542" s="64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6"/>
      <c r="J543" s="63"/>
      <c r="K543" s="63"/>
      <c r="L543" s="63"/>
      <c r="M543" s="64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6"/>
      <c r="J544" s="63"/>
      <c r="K544" s="63"/>
      <c r="L544" s="63"/>
      <c r="M544" s="64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6"/>
      <c r="J545" s="63"/>
      <c r="K545" s="63"/>
      <c r="L545" s="63"/>
      <c r="M545" s="64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6"/>
      <c r="J546" s="63"/>
      <c r="K546" s="63"/>
      <c r="L546" s="63"/>
      <c r="M546" s="64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6"/>
      <c r="J547" s="63"/>
      <c r="K547" s="63"/>
      <c r="L547" s="63"/>
      <c r="M547" s="64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6"/>
      <c r="J548" s="63"/>
      <c r="K548" s="63"/>
      <c r="L548" s="63"/>
      <c r="M548" s="64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6"/>
      <c r="J549" s="63"/>
      <c r="K549" s="63"/>
      <c r="L549" s="63"/>
      <c r="M549" s="64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6"/>
      <c r="J550" s="63"/>
      <c r="K550" s="63"/>
      <c r="L550" s="63"/>
      <c r="M550" s="64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6"/>
      <c r="J551" s="63"/>
      <c r="K551" s="63"/>
      <c r="L551" s="63"/>
      <c r="M551" s="64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6"/>
      <c r="J552" s="63"/>
      <c r="K552" s="63"/>
      <c r="L552" s="63"/>
      <c r="M552" s="64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6"/>
      <c r="J553" s="63"/>
      <c r="K553" s="63"/>
      <c r="L553" s="63"/>
      <c r="M553" s="64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6"/>
      <c r="J554" s="63"/>
      <c r="K554" s="63"/>
      <c r="L554" s="63"/>
      <c r="M554" s="64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6"/>
      <c r="J555" s="63"/>
      <c r="K555" s="63"/>
      <c r="L555" s="63"/>
      <c r="M555" s="64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6"/>
      <c r="J556" s="63"/>
      <c r="K556" s="63"/>
      <c r="L556" s="63"/>
      <c r="M556" s="64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6"/>
      <c r="J557" s="63"/>
      <c r="K557" s="63"/>
      <c r="L557" s="63"/>
      <c r="M557" s="64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6"/>
      <c r="J558" s="63"/>
      <c r="K558" s="63"/>
      <c r="L558" s="63"/>
      <c r="M558" s="64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6"/>
      <c r="J559" s="63"/>
      <c r="K559" s="63"/>
      <c r="L559" s="63"/>
      <c r="M559" s="64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6"/>
      <c r="J560" s="63"/>
      <c r="K560" s="63"/>
      <c r="L560" s="63"/>
      <c r="M560" s="64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6"/>
      <c r="J561" s="63"/>
      <c r="K561" s="63"/>
      <c r="L561" s="63"/>
      <c r="M561" s="64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6"/>
      <c r="J562" s="63"/>
      <c r="K562" s="63"/>
      <c r="L562" s="63"/>
      <c r="M562" s="64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6"/>
      <c r="J563" s="63"/>
      <c r="K563" s="63"/>
      <c r="L563" s="63"/>
      <c r="M563" s="64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6"/>
      <c r="J564" s="63"/>
      <c r="K564" s="63"/>
      <c r="L564" s="63"/>
      <c r="M564" s="64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6"/>
      <c r="J565" s="63"/>
      <c r="K565" s="63"/>
      <c r="L565" s="63"/>
      <c r="M565" s="64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6"/>
      <c r="J566" s="63"/>
      <c r="K566" s="63"/>
      <c r="L566" s="63"/>
      <c r="M566" s="64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6"/>
      <c r="J567" s="63"/>
      <c r="K567" s="63"/>
      <c r="L567" s="63"/>
      <c r="M567" s="64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6"/>
      <c r="J568" s="63"/>
      <c r="K568" s="63"/>
      <c r="L568" s="63"/>
      <c r="M568" s="64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6"/>
      <c r="J569" s="63"/>
      <c r="K569" s="63"/>
      <c r="L569" s="63"/>
      <c r="M569" s="64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6"/>
      <c r="J570" s="63"/>
      <c r="K570" s="63"/>
      <c r="L570" s="63"/>
      <c r="M570" s="64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6"/>
      <c r="J571" s="63"/>
      <c r="K571" s="63"/>
      <c r="L571" s="63"/>
      <c r="M571" s="64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6"/>
      <c r="J572" s="63"/>
      <c r="K572" s="63"/>
      <c r="L572" s="63"/>
      <c r="M572" s="64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6"/>
      <c r="J573" s="63"/>
      <c r="K573" s="63"/>
      <c r="L573" s="63"/>
      <c r="M573" s="64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6"/>
      <c r="J574" s="63"/>
      <c r="K574" s="63"/>
      <c r="L574" s="63"/>
      <c r="M574" s="64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6"/>
      <c r="J575" s="63"/>
      <c r="K575" s="63"/>
      <c r="L575" s="63"/>
      <c r="M575" s="64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6"/>
      <c r="J576" s="63"/>
      <c r="K576" s="63"/>
      <c r="L576" s="63"/>
      <c r="M576" s="64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6"/>
      <c r="J577" s="63"/>
      <c r="K577" s="63"/>
      <c r="L577" s="63"/>
      <c r="M577" s="64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6"/>
      <c r="J578" s="63"/>
      <c r="K578" s="63"/>
      <c r="L578" s="63"/>
      <c r="M578" s="64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6"/>
      <c r="J579" s="63"/>
      <c r="K579" s="63"/>
      <c r="L579" s="63"/>
      <c r="M579" s="64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6"/>
      <c r="J580" s="63"/>
      <c r="K580" s="63"/>
      <c r="L580" s="63"/>
      <c r="M580" s="64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6"/>
      <c r="J581" s="63"/>
      <c r="K581" s="63"/>
      <c r="L581" s="63"/>
      <c r="M581" s="64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6"/>
      <c r="J582" s="63"/>
      <c r="K582" s="63"/>
      <c r="L582" s="63"/>
      <c r="M582" s="64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6"/>
      <c r="J583" s="63"/>
      <c r="K583" s="63"/>
      <c r="L583" s="63"/>
      <c r="M583" s="64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6"/>
      <c r="J584" s="63"/>
      <c r="K584" s="63"/>
      <c r="L584" s="63"/>
      <c r="M584" s="64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6"/>
      <c r="J585" s="63"/>
      <c r="K585" s="63"/>
      <c r="L585" s="63"/>
      <c r="M585" s="64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6"/>
      <c r="J586" s="63"/>
      <c r="K586" s="63"/>
      <c r="L586" s="63"/>
      <c r="M586" s="64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6"/>
      <c r="J587" s="63"/>
      <c r="K587" s="63"/>
      <c r="L587" s="63"/>
      <c r="M587" s="64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6"/>
      <c r="J588" s="63"/>
      <c r="K588" s="63"/>
      <c r="L588" s="63"/>
      <c r="M588" s="64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6"/>
      <c r="J589" s="63"/>
      <c r="K589" s="63"/>
      <c r="L589" s="63"/>
      <c r="M589" s="64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6"/>
      <c r="J590" s="63"/>
      <c r="K590" s="63"/>
      <c r="L590" s="63"/>
      <c r="M590" s="64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6"/>
      <c r="J591" s="63"/>
      <c r="K591" s="63"/>
      <c r="L591" s="63"/>
      <c r="M591" s="64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6"/>
      <c r="J592" s="63"/>
      <c r="K592" s="63"/>
      <c r="L592" s="63"/>
      <c r="M592" s="64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6"/>
      <c r="J593" s="63"/>
      <c r="K593" s="63"/>
      <c r="L593" s="63"/>
      <c r="M593" s="64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6"/>
      <c r="J594" s="63"/>
      <c r="K594" s="63"/>
      <c r="L594" s="63"/>
      <c r="M594" s="64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6"/>
      <c r="J595" s="63"/>
      <c r="K595" s="63"/>
      <c r="L595" s="63"/>
      <c r="M595" s="64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6"/>
      <c r="J596" s="63"/>
      <c r="K596" s="63"/>
      <c r="L596" s="63"/>
      <c r="M596" s="64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6"/>
      <c r="J597" s="63"/>
      <c r="K597" s="63"/>
      <c r="L597" s="63"/>
      <c r="M597" s="64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6"/>
      <c r="J598" s="63"/>
      <c r="K598" s="63"/>
      <c r="L598" s="63"/>
      <c r="M598" s="64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6"/>
      <c r="J599" s="63"/>
      <c r="K599" s="63"/>
      <c r="L599" s="63"/>
      <c r="M599" s="64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6"/>
      <c r="J600" s="63"/>
      <c r="K600" s="63"/>
      <c r="L600" s="63"/>
      <c r="M600" s="64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6"/>
      <c r="J601" s="63"/>
      <c r="K601" s="63"/>
      <c r="L601" s="63"/>
      <c r="M601" s="64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6"/>
      <c r="J602" s="63"/>
      <c r="K602" s="63"/>
      <c r="L602" s="63"/>
      <c r="M602" s="64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6"/>
      <c r="J603" s="63"/>
      <c r="K603" s="63"/>
      <c r="L603" s="63"/>
      <c r="M603" s="64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6"/>
      <c r="J604" s="63"/>
      <c r="K604" s="63"/>
      <c r="L604" s="63"/>
      <c r="M604" s="64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6"/>
      <c r="J605" s="63"/>
      <c r="K605" s="63"/>
      <c r="L605" s="63"/>
      <c r="M605" s="64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6"/>
      <c r="J606" s="63"/>
      <c r="K606" s="63"/>
      <c r="L606" s="63"/>
      <c r="M606" s="64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6"/>
      <c r="J607" s="63"/>
      <c r="K607" s="63"/>
      <c r="L607" s="63"/>
      <c r="M607" s="64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6"/>
      <c r="J608" s="63"/>
      <c r="K608" s="63"/>
      <c r="L608" s="63"/>
      <c r="M608" s="64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6"/>
      <c r="J609" s="63"/>
      <c r="K609" s="63"/>
      <c r="L609" s="63"/>
      <c r="M609" s="64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6"/>
      <c r="J610" s="63"/>
      <c r="K610" s="63"/>
      <c r="L610" s="63"/>
      <c r="M610" s="64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6"/>
      <c r="J611" s="63"/>
      <c r="K611" s="63"/>
      <c r="L611" s="63"/>
      <c r="M611" s="64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6"/>
      <c r="J612" s="63"/>
      <c r="K612" s="63"/>
      <c r="L612" s="63"/>
      <c r="M612" s="64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6"/>
      <c r="J613" s="63"/>
      <c r="K613" s="63"/>
      <c r="L613" s="63"/>
      <c r="M613" s="64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6"/>
      <c r="J614" s="63"/>
      <c r="K614" s="63"/>
      <c r="L614" s="63"/>
      <c r="M614" s="64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6"/>
      <c r="J615" s="63"/>
      <c r="K615" s="63"/>
      <c r="L615" s="63"/>
      <c r="M615" s="64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6"/>
      <c r="J616" s="63"/>
      <c r="K616" s="63"/>
      <c r="L616" s="63"/>
      <c r="M616" s="64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6"/>
      <c r="J617" s="63"/>
      <c r="K617" s="63"/>
      <c r="L617" s="63"/>
      <c r="M617" s="64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6"/>
      <c r="J618" s="63"/>
      <c r="K618" s="63"/>
      <c r="L618" s="63"/>
      <c r="M618" s="64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6"/>
      <c r="J619" s="63"/>
      <c r="K619" s="63"/>
      <c r="L619" s="63"/>
      <c r="M619" s="64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6"/>
      <c r="J620" s="63"/>
      <c r="K620" s="63"/>
      <c r="L620" s="63"/>
      <c r="M620" s="64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6"/>
      <c r="J621" s="63"/>
      <c r="K621" s="63"/>
      <c r="L621" s="63"/>
      <c r="M621" s="64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6"/>
      <c r="J622" s="63"/>
      <c r="K622" s="63"/>
      <c r="L622" s="63"/>
      <c r="M622" s="64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6"/>
      <c r="J623" s="63"/>
      <c r="K623" s="63"/>
      <c r="L623" s="63"/>
      <c r="M623" s="64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6"/>
      <c r="J624" s="63"/>
      <c r="K624" s="63"/>
      <c r="L624" s="63"/>
      <c r="M624" s="64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6"/>
      <c r="J625" s="63"/>
      <c r="K625" s="63"/>
      <c r="L625" s="63"/>
      <c r="M625" s="64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6"/>
      <c r="J626" s="63"/>
      <c r="K626" s="63"/>
      <c r="L626" s="63"/>
      <c r="M626" s="64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6"/>
      <c r="J627" s="63"/>
      <c r="K627" s="63"/>
      <c r="L627" s="63"/>
      <c r="M627" s="64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6"/>
      <c r="J628" s="63"/>
      <c r="K628" s="63"/>
      <c r="L628" s="63"/>
      <c r="M628" s="64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6"/>
      <c r="J629" s="63"/>
      <c r="K629" s="63"/>
      <c r="L629" s="63"/>
      <c r="M629" s="64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6"/>
      <c r="J630" s="63"/>
      <c r="K630" s="63"/>
      <c r="L630" s="63"/>
      <c r="M630" s="64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6"/>
      <c r="J631" s="63"/>
      <c r="K631" s="63"/>
      <c r="L631" s="63"/>
      <c r="M631" s="64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6"/>
      <c r="J632" s="63"/>
      <c r="K632" s="63"/>
      <c r="L632" s="63"/>
      <c r="M632" s="64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6"/>
      <c r="J633" s="63"/>
      <c r="K633" s="63"/>
      <c r="L633" s="63"/>
      <c r="M633" s="64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6"/>
      <c r="J634" s="63"/>
      <c r="K634" s="63"/>
      <c r="L634" s="63"/>
      <c r="M634" s="64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6"/>
      <c r="J635" s="63"/>
      <c r="K635" s="63"/>
      <c r="L635" s="63"/>
      <c r="M635" s="64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6"/>
      <c r="J636" s="63"/>
      <c r="K636" s="63"/>
      <c r="L636" s="63"/>
      <c r="M636" s="64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6"/>
      <c r="J637" s="63"/>
      <c r="K637" s="63"/>
      <c r="L637" s="63"/>
      <c r="M637" s="64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6"/>
      <c r="J638" s="63"/>
      <c r="K638" s="63"/>
      <c r="L638" s="63"/>
      <c r="M638" s="64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6"/>
      <c r="J639" s="63"/>
      <c r="K639" s="63"/>
      <c r="L639" s="63"/>
      <c r="M639" s="64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6"/>
      <c r="J640" s="63"/>
      <c r="K640" s="63"/>
      <c r="L640" s="63"/>
      <c r="M640" s="64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6"/>
      <c r="J641" s="63"/>
      <c r="K641" s="63"/>
      <c r="L641" s="63"/>
      <c r="M641" s="64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6"/>
      <c r="J642" s="63"/>
      <c r="K642" s="63"/>
      <c r="L642" s="63"/>
      <c r="M642" s="64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6"/>
      <c r="J643" s="63"/>
      <c r="K643" s="63"/>
      <c r="L643" s="63"/>
      <c r="M643" s="64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6"/>
      <c r="J644" s="63"/>
      <c r="K644" s="63"/>
      <c r="L644" s="63"/>
      <c r="M644" s="64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6"/>
      <c r="J645" s="63"/>
      <c r="K645" s="63"/>
      <c r="L645" s="63"/>
      <c r="M645" s="64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6"/>
      <c r="J646" s="63"/>
      <c r="K646" s="63"/>
      <c r="L646" s="63"/>
      <c r="M646" s="64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6"/>
      <c r="J647" s="63"/>
      <c r="K647" s="63"/>
      <c r="L647" s="63"/>
      <c r="M647" s="64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6"/>
      <c r="J648" s="63"/>
      <c r="K648" s="63"/>
      <c r="L648" s="63"/>
      <c r="M648" s="64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6"/>
      <c r="J649" s="63"/>
      <c r="K649" s="63"/>
      <c r="L649" s="63"/>
      <c r="M649" s="64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6"/>
      <c r="J650" s="63"/>
      <c r="K650" s="63"/>
      <c r="L650" s="63"/>
      <c r="M650" s="64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6"/>
      <c r="J651" s="63"/>
      <c r="K651" s="63"/>
      <c r="L651" s="63"/>
      <c r="M651" s="64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6"/>
      <c r="J652" s="63"/>
      <c r="K652" s="63"/>
      <c r="L652" s="63"/>
      <c r="M652" s="64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6"/>
      <c r="J653" s="63"/>
      <c r="K653" s="63"/>
      <c r="L653" s="63"/>
      <c r="M653" s="64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6"/>
      <c r="J654" s="63"/>
      <c r="K654" s="63"/>
      <c r="L654" s="63"/>
      <c r="M654" s="64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6"/>
      <c r="J655" s="63"/>
      <c r="K655" s="63"/>
      <c r="L655" s="63"/>
      <c r="M655" s="64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6"/>
      <c r="J656" s="63"/>
      <c r="K656" s="63"/>
      <c r="L656" s="63"/>
      <c r="M656" s="64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6"/>
      <c r="J657" s="63"/>
      <c r="K657" s="63"/>
      <c r="L657" s="63"/>
      <c r="M657" s="64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6"/>
      <c r="J658" s="63"/>
      <c r="K658" s="63"/>
      <c r="L658" s="63"/>
      <c r="M658" s="64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6"/>
      <c r="J659" s="63"/>
      <c r="K659" s="63"/>
      <c r="L659" s="63"/>
      <c r="M659" s="64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6"/>
      <c r="J660" s="63"/>
      <c r="K660" s="63"/>
      <c r="L660" s="63"/>
      <c r="M660" s="64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6"/>
      <c r="J661" s="63"/>
      <c r="K661" s="63"/>
      <c r="L661" s="63"/>
      <c r="M661" s="64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6"/>
      <c r="J662" s="63"/>
      <c r="K662" s="63"/>
      <c r="L662" s="63"/>
      <c r="M662" s="64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6"/>
      <c r="J663" s="63"/>
      <c r="K663" s="63"/>
      <c r="L663" s="63"/>
      <c r="M663" s="64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6"/>
      <c r="J664" s="63"/>
      <c r="K664" s="63"/>
      <c r="L664" s="63"/>
      <c r="M664" s="64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6"/>
      <c r="J665" s="63"/>
      <c r="K665" s="63"/>
      <c r="L665" s="63"/>
      <c r="M665" s="64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6"/>
      <c r="J666" s="63"/>
      <c r="K666" s="63"/>
      <c r="L666" s="63"/>
      <c r="M666" s="64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6"/>
      <c r="J667" s="63"/>
      <c r="K667" s="63"/>
      <c r="L667" s="63"/>
      <c r="M667" s="64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6"/>
      <c r="J668" s="63"/>
      <c r="K668" s="63"/>
      <c r="L668" s="63"/>
      <c r="M668" s="64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6"/>
      <c r="J669" s="63"/>
      <c r="K669" s="63"/>
      <c r="L669" s="63"/>
      <c r="M669" s="64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6"/>
      <c r="J670" s="63"/>
      <c r="K670" s="63"/>
      <c r="L670" s="63"/>
      <c r="M670" s="64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6"/>
      <c r="J671" s="63"/>
      <c r="K671" s="63"/>
      <c r="L671" s="63"/>
      <c r="M671" s="64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6"/>
      <c r="J672" s="63"/>
      <c r="K672" s="63"/>
      <c r="L672" s="63"/>
      <c r="M672" s="64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6"/>
      <c r="J673" s="63"/>
      <c r="K673" s="63"/>
      <c r="L673" s="63"/>
      <c r="M673" s="64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6"/>
      <c r="J674" s="63"/>
      <c r="K674" s="63"/>
      <c r="L674" s="63"/>
      <c r="M674" s="64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6"/>
      <c r="J675" s="63"/>
      <c r="K675" s="63"/>
      <c r="L675" s="63"/>
      <c r="M675" s="64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6"/>
      <c r="J676" s="63"/>
      <c r="K676" s="63"/>
      <c r="L676" s="63"/>
      <c r="M676" s="64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6"/>
      <c r="J677" s="63"/>
      <c r="K677" s="63"/>
      <c r="L677" s="63"/>
      <c r="M677" s="64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6"/>
      <c r="J678" s="63"/>
      <c r="K678" s="63"/>
      <c r="L678" s="63"/>
      <c r="M678" s="64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6"/>
      <c r="J679" s="63"/>
      <c r="K679" s="63"/>
      <c r="L679" s="63"/>
      <c r="M679" s="64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6"/>
      <c r="J680" s="63"/>
      <c r="K680" s="63"/>
      <c r="L680" s="63"/>
      <c r="M680" s="64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6"/>
      <c r="J681" s="63"/>
      <c r="K681" s="63"/>
      <c r="L681" s="63"/>
      <c r="M681" s="64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6"/>
      <c r="J682" s="63"/>
      <c r="K682" s="63"/>
      <c r="L682" s="63"/>
      <c r="M682" s="64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6"/>
      <c r="J683" s="63"/>
      <c r="K683" s="63"/>
      <c r="L683" s="63"/>
      <c r="M683" s="64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6"/>
      <c r="J684" s="63"/>
      <c r="K684" s="63"/>
      <c r="L684" s="63"/>
      <c r="M684" s="64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6"/>
      <c r="J685" s="63"/>
      <c r="K685" s="63"/>
      <c r="L685" s="63"/>
      <c r="M685" s="64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6"/>
      <c r="J686" s="63"/>
      <c r="K686" s="63"/>
      <c r="L686" s="63"/>
      <c r="M686" s="64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6"/>
      <c r="J687" s="63"/>
      <c r="K687" s="63"/>
      <c r="L687" s="63"/>
      <c r="M687" s="64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6"/>
      <c r="J688" s="63"/>
      <c r="K688" s="63"/>
      <c r="L688" s="63"/>
      <c r="M688" s="64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6"/>
      <c r="J689" s="63"/>
      <c r="K689" s="63"/>
      <c r="L689" s="63"/>
      <c r="M689" s="64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6"/>
      <c r="J690" s="63"/>
      <c r="K690" s="63"/>
      <c r="L690" s="63"/>
      <c r="M690" s="64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6"/>
      <c r="J691" s="63"/>
      <c r="K691" s="63"/>
      <c r="L691" s="63"/>
      <c r="M691" s="64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6"/>
      <c r="J692" s="63"/>
      <c r="K692" s="63"/>
      <c r="L692" s="63"/>
      <c r="M692" s="64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6"/>
      <c r="J693" s="63"/>
      <c r="K693" s="63"/>
      <c r="L693" s="63"/>
      <c r="M693" s="64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6"/>
      <c r="J694" s="63"/>
      <c r="K694" s="63"/>
      <c r="L694" s="63"/>
      <c r="M694" s="64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6"/>
      <c r="J695" s="63"/>
      <c r="K695" s="63"/>
      <c r="L695" s="63"/>
      <c r="M695" s="64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6"/>
      <c r="J696" s="63"/>
      <c r="K696" s="63"/>
      <c r="L696" s="63"/>
      <c r="M696" s="64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6"/>
      <c r="J697" s="63"/>
      <c r="K697" s="63"/>
      <c r="L697" s="63"/>
      <c r="M697" s="64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6"/>
      <c r="J698" s="63"/>
      <c r="K698" s="63"/>
      <c r="L698" s="63"/>
      <c r="M698" s="64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6"/>
      <c r="J699" s="63"/>
      <c r="K699" s="63"/>
      <c r="L699" s="63"/>
      <c r="M699" s="64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6"/>
      <c r="J700" s="63"/>
      <c r="K700" s="63"/>
      <c r="L700" s="63"/>
      <c r="M700" s="64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6"/>
      <c r="J701" s="63"/>
      <c r="K701" s="63"/>
      <c r="L701" s="63"/>
      <c r="M701" s="64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6"/>
      <c r="J702" s="63"/>
      <c r="K702" s="63"/>
      <c r="L702" s="63"/>
      <c r="M702" s="64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6"/>
      <c r="J703" s="63"/>
      <c r="K703" s="63"/>
      <c r="L703" s="63"/>
      <c r="M703" s="64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6"/>
      <c r="J704" s="63"/>
      <c r="K704" s="63"/>
      <c r="L704" s="63"/>
      <c r="M704" s="64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6"/>
      <c r="J705" s="63"/>
      <c r="K705" s="63"/>
      <c r="L705" s="63"/>
      <c r="M705" s="64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6"/>
      <c r="J706" s="63"/>
      <c r="K706" s="63"/>
      <c r="L706" s="63"/>
      <c r="M706" s="64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6"/>
      <c r="J707" s="63"/>
      <c r="K707" s="63"/>
      <c r="L707" s="63"/>
      <c r="M707" s="64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6"/>
      <c r="J708" s="63"/>
      <c r="K708" s="63"/>
      <c r="L708" s="63"/>
      <c r="M708" s="64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6"/>
      <c r="J709" s="63"/>
      <c r="K709" s="63"/>
      <c r="L709" s="63"/>
      <c r="M709" s="64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6"/>
      <c r="J710" s="63"/>
      <c r="K710" s="63"/>
      <c r="L710" s="63"/>
      <c r="M710" s="64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6"/>
      <c r="J711" s="63"/>
      <c r="K711" s="63"/>
      <c r="L711" s="63"/>
      <c r="M711" s="64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6"/>
      <c r="J712" s="63"/>
      <c r="K712" s="63"/>
      <c r="L712" s="63"/>
      <c r="M712" s="64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6"/>
      <c r="J713" s="63"/>
      <c r="K713" s="63"/>
      <c r="L713" s="63"/>
      <c r="M713" s="64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6"/>
      <c r="J714" s="63"/>
      <c r="K714" s="63"/>
      <c r="L714" s="63"/>
      <c r="M714" s="64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6"/>
      <c r="J715" s="63"/>
      <c r="K715" s="63"/>
      <c r="L715" s="63"/>
      <c r="M715" s="64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6"/>
      <c r="J716" s="63"/>
      <c r="K716" s="63"/>
      <c r="L716" s="63"/>
      <c r="M716" s="64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6"/>
      <c r="J717" s="63"/>
      <c r="K717" s="63"/>
      <c r="L717" s="63"/>
      <c r="M717" s="64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6"/>
      <c r="J718" s="63"/>
      <c r="K718" s="63"/>
      <c r="L718" s="63"/>
      <c r="M718" s="64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6"/>
      <c r="J719" s="63"/>
      <c r="K719" s="63"/>
      <c r="L719" s="63"/>
      <c r="M719" s="64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6"/>
      <c r="J720" s="63"/>
      <c r="K720" s="63"/>
      <c r="L720" s="63"/>
      <c r="M720" s="64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6"/>
      <c r="J721" s="63"/>
      <c r="K721" s="63"/>
      <c r="L721" s="63"/>
      <c r="M721" s="64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6"/>
      <c r="J722" s="63"/>
      <c r="K722" s="63"/>
      <c r="L722" s="63"/>
      <c r="M722" s="64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6"/>
      <c r="J723" s="63"/>
      <c r="K723" s="63"/>
      <c r="L723" s="63"/>
      <c r="M723" s="64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6"/>
      <c r="J724" s="63"/>
      <c r="K724" s="63"/>
      <c r="L724" s="63"/>
      <c r="M724" s="64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6"/>
      <c r="J725" s="63"/>
      <c r="K725" s="63"/>
      <c r="L725" s="63"/>
      <c r="M725" s="64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6"/>
      <c r="J726" s="63"/>
      <c r="K726" s="63"/>
      <c r="L726" s="63"/>
      <c r="M726" s="64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6"/>
      <c r="J727" s="63"/>
      <c r="K727" s="63"/>
      <c r="L727" s="63"/>
      <c r="M727" s="64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6"/>
      <c r="J728" s="63"/>
      <c r="K728" s="63"/>
      <c r="L728" s="63"/>
      <c r="M728" s="64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6"/>
      <c r="J729" s="63"/>
      <c r="K729" s="63"/>
      <c r="L729" s="63"/>
      <c r="M729" s="64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6"/>
      <c r="J730" s="63"/>
      <c r="K730" s="63"/>
      <c r="L730" s="63"/>
      <c r="M730" s="64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6"/>
      <c r="J731" s="63"/>
      <c r="K731" s="63"/>
      <c r="L731" s="63"/>
      <c r="M731" s="64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6"/>
      <c r="J732" s="63"/>
      <c r="K732" s="63"/>
      <c r="L732" s="63"/>
      <c r="M732" s="64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6"/>
      <c r="J733" s="63"/>
      <c r="K733" s="63"/>
      <c r="L733" s="63"/>
      <c r="M733" s="64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6"/>
      <c r="J734" s="63"/>
      <c r="K734" s="63"/>
      <c r="L734" s="63"/>
      <c r="M734" s="64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6"/>
      <c r="J735" s="63"/>
      <c r="K735" s="63"/>
      <c r="L735" s="63"/>
      <c r="M735" s="64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6"/>
      <c r="J736" s="63"/>
      <c r="K736" s="63"/>
      <c r="L736" s="63"/>
      <c r="M736" s="64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6"/>
      <c r="J737" s="63"/>
      <c r="K737" s="63"/>
      <c r="L737" s="63"/>
      <c r="M737" s="64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6"/>
      <c r="J738" s="63"/>
      <c r="K738" s="63"/>
      <c r="L738" s="63"/>
      <c r="M738" s="64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6"/>
      <c r="J739" s="63"/>
      <c r="K739" s="63"/>
      <c r="L739" s="63"/>
      <c r="M739" s="64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6"/>
      <c r="J740" s="63"/>
      <c r="K740" s="63"/>
      <c r="L740" s="63"/>
      <c r="M740" s="64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6"/>
      <c r="J741" s="63"/>
      <c r="K741" s="63"/>
      <c r="L741" s="63"/>
      <c r="M741" s="64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6"/>
      <c r="J742" s="63"/>
      <c r="K742" s="63"/>
      <c r="L742" s="63"/>
      <c r="M742" s="64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6"/>
      <c r="J743" s="63"/>
      <c r="K743" s="63"/>
      <c r="L743" s="63"/>
      <c r="M743" s="64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6"/>
      <c r="J744" s="63"/>
      <c r="K744" s="63"/>
      <c r="L744" s="63"/>
      <c r="M744" s="64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6"/>
      <c r="J745" s="63"/>
      <c r="K745" s="63"/>
      <c r="L745" s="63"/>
      <c r="M745" s="64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6"/>
      <c r="J746" s="63"/>
      <c r="K746" s="63"/>
      <c r="L746" s="63"/>
      <c r="M746" s="64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6"/>
      <c r="J747" s="63"/>
      <c r="K747" s="63"/>
      <c r="L747" s="63"/>
      <c r="M747" s="64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6"/>
      <c r="J748" s="63"/>
      <c r="K748" s="63"/>
      <c r="L748" s="63"/>
      <c r="M748" s="64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6"/>
      <c r="J749" s="63"/>
      <c r="K749" s="63"/>
      <c r="L749" s="63"/>
      <c r="M749" s="64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6"/>
      <c r="J750" s="63"/>
      <c r="K750" s="63"/>
      <c r="L750" s="63"/>
      <c r="M750" s="64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6"/>
      <c r="J751" s="63"/>
      <c r="K751" s="63"/>
      <c r="L751" s="63"/>
      <c r="M751" s="64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6"/>
      <c r="J752" s="63"/>
      <c r="K752" s="63"/>
      <c r="L752" s="63"/>
      <c r="M752" s="64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6"/>
      <c r="J753" s="63"/>
      <c r="K753" s="63"/>
      <c r="L753" s="63"/>
      <c r="M753" s="64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6"/>
      <c r="J754" s="63"/>
      <c r="K754" s="63"/>
      <c r="L754" s="63"/>
      <c r="M754" s="64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6"/>
      <c r="J755" s="63"/>
      <c r="K755" s="63"/>
      <c r="L755" s="63"/>
      <c r="M755" s="64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6"/>
      <c r="J756" s="63"/>
      <c r="K756" s="63"/>
      <c r="L756" s="63"/>
      <c r="M756" s="64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6"/>
      <c r="J757" s="63"/>
      <c r="K757" s="63"/>
      <c r="L757" s="63"/>
      <c r="M757" s="64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6"/>
      <c r="J758" s="63"/>
      <c r="K758" s="63"/>
      <c r="L758" s="63"/>
      <c r="M758" s="64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6"/>
      <c r="J759" s="63"/>
      <c r="K759" s="63"/>
      <c r="L759" s="63"/>
      <c r="M759" s="64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6"/>
      <c r="J760" s="63"/>
      <c r="K760" s="63"/>
      <c r="L760" s="63"/>
      <c r="M760" s="64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6"/>
      <c r="J761" s="63"/>
      <c r="K761" s="63"/>
      <c r="L761" s="63"/>
      <c r="M761" s="64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6"/>
      <c r="J762" s="63"/>
      <c r="K762" s="63"/>
      <c r="L762" s="63"/>
      <c r="M762" s="64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6"/>
      <c r="J763" s="63"/>
      <c r="K763" s="63"/>
      <c r="L763" s="63"/>
      <c r="M763" s="64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6"/>
      <c r="J764" s="63"/>
      <c r="K764" s="63"/>
      <c r="L764" s="63"/>
      <c r="M764" s="64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6"/>
      <c r="J765" s="63"/>
      <c r="K765" s="63"/>
      <c r="L765" s="63"/>
      <c r="M765" s="64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6"/>
      <c r="J766" s="63"/>
      <c r="K766" s="63"/>
      <c r="L766" s="63"/>
      <c r="M766" s="64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6"/>
      <c r="J767" s="63"/>
      <c r="K767" s="63"/>
      <c r="L767" s="63"/>
      <c r="M767" s="64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6"/>
      <c r="J768" s="63"/>
      <c r="K768" s="63"/>
      <c r="L768" s="63"/>
      <c r="M768" s="64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6"/>
      <c r="J769" s="63"/>
      <c r="K769" s="63"/>
      <c r="L769" s="63"/>
      <c r="M769" s="64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6"/>
      <c r="J770" s="63"/>
      <c r="K770" s="63"/>
      <c r="L770" s="63"/>
      <c r="M770" s="64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6"/>
      <c r="J771" s="63"/>
      <c r="K771" s="63"/>
      <c r="L771" s="63"/>
      <c r="M771" s="64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6"/>
      <c r="J772" s="63"/>
      <c r="K772" s="63"/>
      <c r="L772" s="63"/>
      <c r="M772" s="64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6"/>
      <c r="J773" s="63"/>
      <c r="K773" s="63"/>
      <c r="L773" s="63"/>
      <c r="M773" s="64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6"/>
      <c r="J774" s="63"/>
      <c r="K774" s="63"/>
      <c r="L774" s="63"/>
      <c r="M774" s="64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6"/>
      <c r="J775" s="63"/>
      <c r="K775" s="63"/>
      <c r="L775" s="63"/>
      <c r="M775" s="64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6"/>
      <c r="J776" s="63"/>
      <c r="K776" s="63"/>
      <c r="L776" s="63"/>
      <c r="M776" s="64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6"/>
      <c r="J777" s="63"/>
      <c r="K777" s="63"/>
      <c r="L777" s="63"/>
      <c r="M777" s="64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6"/>
      <c r="J778" s="63"/>
      <c r="K778" s="63"/>
      <c r="L778" s="63"/>
      <c r="M778" s="64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6"/>
      <c r="J779" s="63"/>
      <c r="K779" s="63"/>
      <c r="L779" s="63"/>
      <c r="M779" s="64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6"/>
      <c r="J780" s="63"/>
      <c r="K780" s="63"/>
      <c r="L780" s="63"/>
      <c r="M780" s="64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6"/>
      <c r="J781" s="63"/>
      <c r="K781" s="63"/>
      <c r="L781" s="63"/>
      <c r="M781" s="64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6"/>
      <c r="J782" s="63"/>
      <c r="K782" s="63"/>
      <c r="L782" s="63"/>
      <c r="M782" s="64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6"/>
      <c r="J783" s="63"/>
      <c r="K783" s="63"/>
      <c r="L783" s="63"/>
      <c r="M783" s="64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6"/>
      <c r="J784" s="63"/>
      <c r="K784" s="63"/>
      <c r="L784" s="63"/>
      <c r="M784" s="64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6"/>
      <c r="J785" s="63"/>
      <c r="K785" s="63"/>
      <c r="L785" s="63"/>
      <c r="M785" s="64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6"/>
      <c r="J786" s="63"/>
      <c r="K786" s="63"/>
      <c r="L786" s="63"/>
      <c r="M786" s="64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6"/>
      <c r="J787" s="63"/>
      <c r="K787" s="63"/>
      <c r="L787" s="63"/>
      <c r="M787" s="64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6"/>
      <c r="J788" s="63"/>
      <c r="K788" s="63"/>
      <c r="L788" s="63"/>
      <c r="M788" s="64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6"/>
      <c r="J789" s="63"/>
      <c r="K789" s="63"/>
      <c r="L789" s="63"/>
      <c r="M789" s="64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6"/>
      <c r="J790" s="63"/>
      <c r="K790" s="63"/>
      <c r="L790" s="63"/>
      <c r="M790" s="64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6"/>
      <c r="J791" s="63"/>
      <c r="K791" s="63"/>
      <c r="L791" s="63"/>
      <c r="M791" s="64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6"/>
      <c r="J792" s="63"/>
      <c r="K792" s="63"/>
      <c r="L792" s="63"/>
      <c r="M792" s="64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6"/>
      <c r="J793" s="63"/>
      <c r="K793" s="63"/>
      <c r="L793" s="63"/>
      <c r="M793" s="64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6"/>
      <c r="J794" s="63"/>
      <c r="K794" s="63"/>
      <c r="L794" s="63"/>
      <c r="M794" s="64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6"/>
      <c r="J795" s="63"/>
      <c r="K795" s="63"/>
      <c r="L795" s="63"/>
      <c r="M795" s="64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6"/>
      <c r="J796" s="63"/>
      <c r="K796" s="63"/>
      <c r="L796" s="63"/>
      <c r="M796" s="64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6"/>
      <c r="J797" s="63"/>
      <c r="K797" s="63"/>
      <c r="L797" s="63"/>
      <c r="M797" s="64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6"/>
      <c r="J798" s="63"/>
      <c r="K798" s="63"/>
      <c r="L798" s="63"/>
      <c r="M798" s="64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6"/>
      <c r="J799" s="63"/>
      <c r="K799" s="63"/>
      <c r="L799" s="63"/>
      <c r="M799" s="64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6"/>
      <c r="J800" s="63"/>
      <c r="K800" s="63"/>
      <c r="L800" s="63"/>
      <c r="M800" s="64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6"/>
      <c r="J801" s="63"/>
      <c r="K801" s="63"/>
      <c r="L801" s="63"/>
      <c r="M801" s="64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6"/>
      <c r="J802" s="63"/>
      <c r="K802" s="63"/>
      <c r="L802" s="63"/>
      <c r="M802" s="64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6"/>
      <c r="J803" s="63"/>
      <c r="K803" s="63"/>
      <c r="L803" s="63"/>
      <c r="M803" s="64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6"/>
      <c r="J804" s="63"/>
      <c r="K804" s="63"/>
      <c r="L804" s="63"/>
      <c r="M804" s="64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6"/>
      <c r="J805" s="63"/>
      <c r="K805" s="63"/>
      <c r="L805" s="63"/>
      <c r="M805" s="64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6"/>
      <c r="J806" s="63"/>
      <c r="K806" s="63"/>
      <c r="L806" s="63"/>
      <c r="M806" s="64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6"/>
      <c r="J807" s="63"/>
      <c r="K807" s="63"/>
      <c r="L807" s="63"/>
      <c r="M807" s="64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6"/>
      <c r="J808" s="63"/>
      <c r="K808" s="63"/>
      <c r="L808" s="63"/>
      <c r="M808" s="64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6"/>
      <c r="J809" s="63"/>
      <c r="K809" s="63"/>
      <c r="L809" s="63"/>
      <c r="M809" s="64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6"/>
      <c r="J810" s="63"/>
      <c r="K810" s="63"/>
      <c r="L810" s="63"/>
      <c r="M810" s="64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6"/>
      <c r="J811" s="63"/>
      <c r="K811" s="63"/>
      <c r="L811" s="63"/>
      <c r="M811" s="64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6"/>
      <c r="J812" s="63"/>
      <c r="K812" s="63"/>
      <c r="L812" s="63"/>
      <c r="M812" s="64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6"/>
      <c r="J813" s="63"/>
      <c r="K813" s="63"/>
      <c r="L813" s="63"/>
      <c r="M813" s="64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6"/>
      <c r="J814" s="63"/>
      <c r="K814" s="63"/>
      <c r="L814" s="63"/>
      <c r="M814" s="64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6"/>
      <c r="J815" s="63"/>
      <c r="K815" s="63"/>
      <c r="L815" s="63"/>
      <c r="M815" s="64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6"/>
      <c r="J816" s="63"/>
      <c r="K816" s="63"/>
      <c r="L816" s="63"/>
      <c r="M816" s="64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6"/>
      <c r="J817" s="63"/>
      <c r="K817" s="63"/>
      <c r="L817" s="63"/>
      <c r="M817" s="64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6"/>
      <c r="J818" s="63"/>
      <c r="K818" s="63"/>
      <c r="L818" s="63"/>
      <c r="M818" s="64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6"/>
      <c r="J819" s="63"/>
      <c r="K819" s="63"/>
      <c r="L819" s="63"/>
      <c r="M819" s="64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6"/>
      <c r="J820" s="63"/>
      <c r="K820" s="63"/>
      <c r="L820" s="63"/>
      <c r="M820" s="64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6"/>
      <c r="J821" s="63"/>
      <c r="K821" s="63"/>
      <c r="L821" s="63"/>
      <c r="M821" s="64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6"/>
      <c r="J822" s="63"/>
      <c r="K822" s="63"/>
      <c r="L822" s="63"/>
      <c r="M822" s="64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6"/>
      <c r="J823" s="63"/>
      <c r="K823" s="63"/>
      <c r="L823" s="63"/>
      <c r="M823" s="64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6"/>
      <c r="J824" s="63"/>
      <c r="K824" s="63"/>
      <c r="L824" s="63"/>
      <c r="M824" s="64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6"/>
      <c r="J825" s="63"/>
      <c r="K825" s="63"/>
      <c r="L825" s="63"/>
      <c r="M825" s="64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6"/>
      <c r="J826" s="63"/>
      <c r="K826" s="63"/>
      <c r="L826" s="63"/>
      <c r="M826" s="64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6"/>
      <c r="J827" s="63"/>
      <c r="K827" s="63"/>
      <c r="L827" s="63"/>
      <c r="M827" s="64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6"/>
      <c r="J828" s="63"/>
      <c r="K828" s="63"/>
      <c r="L828" s="63"/>
      <c r="M828" s="64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6"/>
      <c r="J829" s="63"/>
      <c r="K829" s="63"/>
      <c r="L829" s="63"/>
      <c r="M829" s="64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6"/>
      <c r="J830" s="63"/>
      <c r="K830" s="63"/>
      <c r="L830" s="63"/>
      <c r="M830" s="64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6"/>
      <c r="J831" s="63"/>
      <c r="K831" s="63"/>
      <c r="L831" s="63"/>
      <c r="M831" s="64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6"/>
      <c r="J832" s="63"/>
      <c r="K832" s="63"/>
      <c r="L832" s="63"/>
      <c r="M832" s="64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6"/>
      <c r="J833" s="63"/>
      <c r="K833" s="63"/>
      <c r="L833" s="63"/>
      <c r="M833" s="64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6"/>
      <c r="J834" s="63"/>
      <c r="K834" s="63"/>
      <c r="L834" s="63"/>
      <c r="M834" s="64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6"/>
      <c r="J835" s="63"/>
      <c r="K835" s="63"/>
      <c r="L835" s="63"/>
      <c r="M835" s="64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6"/>
      <c r="J836" s="63"/>
      <c r="K836" s="63"/>
      <c r="L836" s="63"/>
      <c r="M836" s="64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6"/>
      <c r="J837" s="63"/>
      <c r="K837" s="63"/>
      <c r="L837" s="63"/>
      <c r="M837" s="64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6"/>
      <c r="J838" s="63"/>
      <c r="K838" s="63"/>
      <c r="L838" s="63"/>
      <c r="M838" s="64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6"/>
      <c r="J839" s="63"/>
      <c r="K839" s="63"/>
      <c r="L839" s="63"/>
      <c r="M839" s="64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6"/>
      <c r="J840" s="63"/>
      <c r="K840" s="63"/>
      <c r="L840" s="63"/>
      <c r="M840" s="64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6"/>
      <c r="J841" s="63"/>
      <c r="K841" s="63"/>
      <c r="L841" s="63"/>
      <c r="M841" s="64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6"/>
      <c r="J842" s="63"/>
      <c r="K842" s="63"/>
      <c r="L842" s="63"/>
      <c r="M842" s="64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6"/>
      <c r="J843" s="63"/>
      <c r="K843" s="63"/>
      <c r="L843" s="63"/>
      <c r="M843" s="64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6"/>
      <c r="J844" s="63"/>
      <c r="K844" s="63"/>
      <c r="L844" s="63"/>
      <c r="M844" s="64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6"/>
      <c r="J845" s="63"/>
      <c r="K845" s="63"/>
      <c r="L845" s="63"/>
      <c r="M845" s="64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6"/>
      <c r="J846" s="63"/>
      <c r="K846" s="63"/>
      <c r="L846" s="63"/>
      <c r="M846" s="64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6"/>
      <c r="J847" s="63"/>
      <c r="K847" s="63"/>
      <c r="L847" s="63"/>
      <c r="M847" s="64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6"/>
      <c r="J848" s="63"/>
      <c r="K848" s="63"/>
      <c r="L848" s="63"/>
      <c r="M848" s="64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6"/>
      <c r="J849" s="63"/>
      <c r="K849" s="63"/>
      <c r="L849" s="63"/>
      <c r="M849" s="64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6"/>
      <c r="J850" s="63"/>
      <c r="K850" s="63"/>
      <c r="L850" s="63"/>
      <c r="M850" s="64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6"/>
      <c r="J851" s="63"/>
      <c r="K851" s="63"/>
      <c r="L851" s="63"/>
      <c r="M851" s="64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6"/>
      <c r="J852" s="63"/>
      <c r="K852" s="63"/>
      <c r="L852" s="63"/>
      <c r="M852" s="64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6"/>
      <c r="J853" s="63"/>
      <c r="K853" s="63"/>
      <c r="L853" s="63"/>
      <c r="M853" s="64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6"/>
      <c r="J854" s="63"/>
      <c r="K854" s="63"/>
      <c r="L854" s="63"/>
      <c r="M854" s="64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6"/>
      <c r="J855" s="63"/>
      <c r="K855" s="63"/>
      <c r="L855" s="63"/>
      <c r="M855" s="64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6"/>
      <c r="J856" s="63"/>
      <c r="K856" s="63"/>
      <c r="L856" s="63"/>
      <c r="M856" s="64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6"/>
      <c r="J857" s="63"/>
      <c r="K857" s="63"/>
      <c r="L857" s="63"/>
      <c r="M857" s="64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6"/>
      <c r="J858" s="63"/>
      <c r="K858" s="63"/>
      <c r="L858" s="63"/>
      <c r="M858" s="64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6"/>
      <c r="J859" s="63"/>
      <c r="K859" s="63"/>
      <c r="L859" s="63"/>
      <c r="M859" s="64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6"/>
      <c r="J860" s="63"/>
      <c r="K860" s="63"/>
      <c r="L860" s="63"/>
      <c r="M860" s="64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6"/>
      <c r="J861" s="63"/>
      <c r="K861" s="63"/>
      <c r="L861" s="63"/>
      <c r="M861" s="64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6"/>
      <c r="J862" s="63"/>
      <c r="K862" s="63"/>
      <c r="L862" s="63"/>
      <c r="M862" s="64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6"/>
      <c r="J863" s="63"/>
      <c r="K863" s="63"/>
      <c r="L863" s="63"/>
      <c r="M863" s="64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6"/>
      <c r="J864" s="63"/>
      <c r="K864" s="63"/>
      <c r="L864" s="63"/>
      <c r="M864" s="64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6"/>
      <c r="J865" s="63"/>
      <c r="K865" s="63"/>
      <c r="L865" s="63"/>
      <c r="M865" s="64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6"/>
      <c r="J866" s="63"/>
      <c r="K866" s="63"/>
      <c r="L866" s="63"/>
      <c r="M866" s="64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6"/>
      <c r="J867" s="63"/>
      <c r="K867" s="63"/>
      <c r="L867" s="63"/>
      <c r="M867" s="64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6"/>
      <c r="J868" s="63"/>
      <c r="K868" s="63"/>
      <c r="L868" s="63"/>
      <c r="M868" s="64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6"/>
      <c r="J869" s="63"/>
      <c r="K869" s="63"/>
      <c r="L869" s="63"/>
      <c r="M869" s="64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6"/>
      <c r="J870" s="63"/>
      <c r="K870" s="63"/>
      <c r="L870" s="63"/>
      <c r="M870" s="64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6"/>
      <c r="J871" s="63"/>
      <c r="K871" s="63"/>
      <c r="L871" s="63"/>
      <c r="M871" s="64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6"/>
      <c r="J872" s="63"/>
      <c r="K872" s="63"/>
      <c r="L872" s="63"/>
      <c r="M872" s="64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6"/>
      <c r="J873" s="63"/>
      <c r="K873" s="63"/>
      <c r="L873" s="63"/>
      <c r="M873" s="64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6"/>
      <c r="J874" s="63"/>
      <c r="K874" s="63"/>
      <c r="L874" s="63"/>
      <c r="M874" s="64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6"/>
      <c r="J875" s="63"/>
      <c r="K875" s="63"/>
      <c r="L875" s="63"/>
      <c r="M875" s="64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6"/>
      <c r="J876" s="63"/>
      <c r="K876" s="63"/>
      <c r="L876" s="63"/>
      <c r="M876" s="64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6"/>
      <c r="J877" s="63"/>
      <c r="K877" s="63"/>
      <c r="L877" s="63"/>
      <c r="M877" s="64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6"/>
      <c r="J878" s="63"/>
      <c r="K878" s="63"/>
      <c r="L878" s="63"/>
      <c r="M878" s="64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6"/>
      <c r="J879" s="63"/>
      <c r="K879" s="63"/>
      <c r="L879" s="63"/>
      <c r="M879" s="64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6"/>
      <c r="J880" s="63"/>
      <c r="K880" s="63"/>
      <c r="L880" s="63"/>
      <c r="M880" s="64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6"/>
      <c r="J881" s="63"/>
      <c r="K881" s="63"/>
      <c r="L881" s="63"/>
      <c r="M881" s="64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6"/>
      <c r="J882" s="63"/>
      <c r="K882" s="63"/>
      <c r="L882" s="63"/>
      <c r="M882" s="64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6"/>
      <c r="J883" s="63"/>
      <c r="K883" s="63"/>
      <c r="L883" s="63"/>
      <c r="M883" s="64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6"/>
      <c r="J884" s="63"/>
      <c r="K884" s="63"/>
      <c r="L884" s="63"/>
      <c r="M884" s="64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6"/>
      <c r="J885" s="63"/>
      <c r="K885" s="63"/>
      <c r="L885" s="63"/>
      <c r="M885" s="64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6"/>
      <c r="J886" s="63"/>
      <c r="K886" s="63"/>
      <c r="L886" s="63"/>
      <c r="M886" s="64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6"/>
      <c r="J887" s="63"/>
      <c r="K887" s="63"/>
      <c r="L887" s="63"/>
      <c r="M887" s="64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6"/>
      <c r="J888" s="63"/>
      <c r="K888" s="63"/>
      <c r="L888" s="63"/>
      <c r="M888" s="64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6"/>
      <c r="J889" s="63"/>
      <c r="K889" s="63"/>
      <c r="L889" s="63"/>
      <c r="M889" s="64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6"/>
      <c r="J890" s="63"/>
      <c r="K890" s="63"/>
      <c r="L890" s="63"/>
      <c r="M890" s="64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6"/>
      <c r="J891" s="63"/>
      <c r="K891" s="63"/>
      <c r="L891" s="63"/>
      <c r="M891" s="64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6"/>
      <c r="J892" s="63"/>
      <c r="K892" s="63"/>
      <c r="L892" s="63"/>
      <c r="M892" s="64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6"/>
      <c r="J893" s="63"/>
      <c r="K893" s="63"/>
      <c r="L893" s="63"/>
      <c r="M893" s="64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6"/>
      <c r="J894" s="63"/>
      <c r="K894" s="63"/>
      <c r="L894" s="63"/>
      <c r="M894" s="64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6"/>
      <c r="J895" s="63"/>
      <c r="K895" s="63"/>
      <c r="L895" s="63"/>
      <c r="M895" s="64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6"/>
      <c r="J896" s="63"/>
      <c r="K896" s="63"/>
      <c r="L896" s="63"/>
      <c r="M896" s="64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6"/>
      <c r="J897" s="63"/>
      <c r="K897" s="63"/>
      <c r="L897" s="63"/>
      <c r="M897" s="64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6"/>
      <c r="J898" s="63"/>
      <c r="K898" s="63"/>
      <c r="L898" s="63"/>
      <c r="M898" s="64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6"/>
      <c r="J899" s="63"/>
      <c r="K899" s="63"/>
      <c r="L899" s="63"/>
      <c r="M899" s="64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6"/>
      <c r="J900" s="63"/>
      <c r="K900" s="63"/>
      <c r="L900" s="63"/>
      <c r="M900" s="64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6"/>
      <c r="J901" s="63"/>
      <c r="K901" s="63"/>
      <c r="L901" s="63"/>
      <c r="M901" s="64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6"/>
      <c r="J902" s="63"/>
      <c r="K902" s="63"/>
      <c r="L902" s="63"/>
      <c r="M902" s="64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6"/>
      <c r="J903" s="63"/>
      <c r="K903" s="63"/>
      <c r="L903" s="63"/>
      <c r="M903" s="64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6"/>
      <c r="J904" s="63"/>
      <c r="K904" s="63"/>
      <c r="L904" s="63"/>
      <c r="M904" s="64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6"/>
      <c r="J905" s="63"/>
      <c r="K905" s="63"/>
      <c r="L905" s="63"/>
      <c r="M905" s="64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6"/>
      <c r="J906" s="63"/>
      <c r="K906" s="63"/>
      <c r="L906" s="63"/>
      <c r="M906" s="64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6"/>
      <c r="J907" s="63"/>
      <c r="K907" s="63"/>
      <c r="L907" s="63"/>
      <c r="M907" s="64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6"/>
      <c r="J908" s="63"/>
      <c r="K908" s="63"/>
      <c r="L908" s="63"/>
      <c r="M908" s="64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6"/>
      <c r="J909" s="63"/>
      <c r="K909" s="63"/>
      <c r="L909" s="63"/>
      <c r="M909" s="64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6"/>
      <c r="J910" s="63"/>
      <c r="K910" s="63"/>
      <c r="L910" s="63"/>
      <c r="M910" s="64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6"/>
      <c r="J911" s="63"/>
      <c r="K911" s="63"/>
      <c r="L911" s="63"/>
      <c r="M911" s="64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6"/>
      <c r="J912" s="63"/>
      <c r="K912" s="63"/>
      <c r="L912" s="63"/>
      <c r="M912" s="64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6"/>
      <c r="J913" s="63"/>
      <c r="K913" s="63"/>
      <c r="L913" s="63"/>
      <c r="M913" s="64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6"/>
      <c r="J914" s="63"/>
      <c r="K914" s="63"/>
      <c r="L914" s="63"/>
      <c r="M914" s="64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6"/>
      <c r="J915" s="63"/>
      <c r="K915" s="63"/>
      <c r="L915" s="63"/>
      <c r="M915" s="64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6"/>
      <c r="J916" s="63"/>
      <c r="K916" s="63"/>
      <c r="L916" s="63"/>
      <c r="M916" s="64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6"/>
      <c r="J917" s="63"/>
      <c r="K917" s="63"/>
      <c r="L917" s="63"/>
      <c r="M917" s="64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6"/>
      <c r="J918" s="63"/>
      <c r="K918" s="63"/>
      <c r="L918" s="63"/>
      <c r="M918" s="64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6"/>
      <c r="J919" s="63"/>
      <c r="K919" s="63"/>
      <c r="L919" s="63"/>
      <c r="M919" s="64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6"/>
      <c r="J920" s="63"/>
      <c r="K920" s="63"/>
      <c r="L920" s="63"/>
      <c r="M920" s="64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6"/>
      <c r="J921" s="63"/>
      <c r="K921" s="63"/>
      <c r="L921" s="63"/>
      <c r="M921" s="64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6"/>
      <c r="J922" s="63"/>
      <c r="K922" s="63"/>
      <c r="L922" s="63"/>
      <c r="M922" s="64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6"/>
      <c r="J923" s="63"/>
      <c r="K923" s="63"/>
      <c r="L923" s="63"/>
      <c r="M923" s="64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6"/>
      <c r="J924" s="63"/>
      <c r="K924" s="63"/>
      <c r="L924" s="63"/>
      <c r="M924" s="64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6"/>
      <c r="J925" s="63"/>
      <c r="K925" s="63"/>
      <c r="L925" s="63"/>
      <c r="M925" s="64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6"/>
      <c r="J926" s="63"/>
      <c r="K926" s="63"/>
      <c r="L926" s="63"/>
      <c r="M926" s="64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6"/>
      <c r="J927" s="63"/>
      <c r="K927" s="63"/>
      <c r="L927" s="63"/>
      <c r="M927" s="64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6"/>
      <c r="J928" s="63"/>
      <c r="K928" s="63"/>
      <c r="L928" s="63"/>
      <c r="M928" s="64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6"/>
      <c r="J929" s="63"/>
      <c r="K929" s="63"/>
      <c r="L929" s="63"/>
      <c r="M929" s="64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6"/>
      <c r="J930" s="63"/>
      <c r="K930" s="63"/>
      <c r="L930" s="63"/>
      <c r="M930" s="64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6"/>
      <c r="J931" s="63"/>
      <c r="K931" s="63"/>
      <c r="L931" s="63"/>
      <c r="M931" s="64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6"/>
      <c r="J932" s="63"/>
      <c r="K932" s="63"/>
      <c r="L932" s="63"/>
      <c r="M932" s="64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6"/>
      <c r="J933" s="63"/>
      <c r="K933" s="63"/>
      <c r="L933" s="63"/>
      <c r="M933" s="64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6"/>
      <c r="J934" s="63"/>
      <c r="K934" s="63"/>
      <c r="L934" s="63"/>
      <c r="M934" s="64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6"/>
      <c r="J935" s="63"/>
      <c r="K935" s="63"/>
      <c r="L935" s="63"/>
      <c r="M935" s="64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6"/>
      <c r="J936" s="63"/>
      <c r="K936" s="63"/>
      <c r="L936" s="63"/>
      <c r="M936" s="64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6"/>
      <c r="J937" s="63"/>
      <c r="K937" s="63"/>
      <c r="L937" s="63"/>
      <c r="M937" s="64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6"/>
      <c r="J938" s="63"/>
      <c r="K938" s="63"/>
      <c r="L938" s="63"/>
      <c r="M938" s="64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6"/>
      <c r="J939" s="63"/>
      <c r="K939" s="63"/>
      <c r="L939" s="63"/>
      <c r="M939" s="64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6"/>
      <c r="J940" s="63"/>
      <c r="K940" s="63"/>
      <c r="L940" s="63"/>
      <c r="M940" s="64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6"/>
      <c r="J941" s="63"/>
      <c r="K941" s="63"/>
      <c r="L941" s="63"/>
      <c r="M941" s="64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6"/>
      <c r="J942" s="63"/>
      <c r="K942" s="63"/>
      <c r="L942" s="63"/>
      <c r="M942" s="64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6"/>
      <c r="J943" s="63"/>
      <c r="K943" s="63"/>
      <c r="L943" s="63"/>
      <c r="M943" s="64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6"/>
      <c r="J944" s="63"/>
      <c r="K944" s="63"/>
      <c r="L944" s="63"/>
      <c r="M944" s="64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6"/>
      <c r="J945" s="63"/>
      <c r="K945" s="63"/>
      <c r="L945" s="63"/>
      <c r="M945" s="64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6"/>
      <c r="J946" s="63"/>
      <c r="K946" s="63"/>
      <c r="L946" s="63"/>
      <c r="M946" s="64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6"/>
      <c r="J947" s="63"/>
      <c r="K947" s="63"/>
      <c r="L947" s="63"/>
      <c r="M947" s="64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6"/>
      <c r="J948" s="63"/>
      <c r="K948" s="63"/>
      <c r="L948" s="63"/>
      <c r="M948" s="64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6"/>
      <c r="J949" s="63"/>
      <c r="K949" s="63"/>
      <c r="L949" s="63"/>
      <c r="M949" s="64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6"/>
      <c r="J950" s="63"/>
      <c r="K950" s="63"/>
      <c r="L950" s="63"/>
      <c r="M950" s="64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6"/>
      <c r="J951" s="63"/>
      <c r="K951" s="63"/>
      <c r="L951" s="63"/>
      <c r="M951" s="64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6"/>
      <c r="J952" s="63"/>
      <c r="K952" s="63"/>
      <c r="L952" s="63"/>
      <c r="M952" s="64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6"/>
      <c r="J953" s="63"/>
      <c r="K953" s="63"/>
      <c r="L953" s="63"/>
      <c r="M953" s="64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6"/>
      <c r="J954" s="63"/>
      <c r="K954" s="63"/>
      <c r="L954" s="63"/>
      <c r="M954" s="64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6"/>
      <c r="J955" s="63"/>
      <c r="K955" s="63"/>
      <c r="L955" s="63"/>
      <c r="M955" s="64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6"/>
      <c r="J956" s="63"/>
      <c r="K956" s="63"/>
      <c r="L956" s="63"/>
      <c r="M956" s="64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6"/>
      <c r="J957" s="63"/>
      <c r="K957" s="63"/>
      <c r="L957" s="63"/>
      <c r="M957" s="64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6"/>
      <c r="J958" s="63"/>
      <c r="K958" s="63"/>
      <c r="L958" s="63"/>
      <c r="M958" s="64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6"/>
      <c r="J959" s="63"/>
      <c r="K959" s="63"/>
      <c r="L959" s="63"/>
      <c r="M959" s="64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6"/>
      <c r="J960" s="63"/>
      <c r="K960" s="63"/>
      <c r="L960" s="63"/>
      <c r="M960" s="64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6"/>
      <c r="J961" s="63"/>
      <c r="K961" s="63"/>
      <c r="L961" s="63"/>
      <c r="M961" s="64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6"/>
      <c r="J962" s="63"/>
      <c r="K962" s="63"/>
      <c r="L962" s="63"/>
      <c r="M962" s="64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6"/>
      <c r="J963" s="63"/>
      <c r="K963" s="63"/>
      <c r="L963" s="63"/>
      <c r="M963" s="64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6"/>
      <c r="J964" s="63"/>
      <c r="K964" s="63"/>
      <c r="L964" s="63"/>
      <c r="M964" s="64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6"/>
      <c r="J965" s="63"/>
      <c r="K965" s="63"/>
      <c r="L965" s="63"/>
      <c r="M965" s="64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6"/>
      <c r="J966" s="63"/>
      <c r="K966" s="63"/>
      <c r="L966" s="63"/>
      <c r="M966" s="64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6"/>
      <c r="J967" s="63"/>
      <c r="K967" s="63"/>
      <c r="L967" s="63"/>
      <c r="M967" s="64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6"/>
      <c r="J968" s="63"/>
      <c r="K968" s="63"/>
      <c r="L968" s="63"/>
      <c r="M968" s="64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6"/>
      <c r="J969" s="63"/>
      <c r="K969" s="63"/>
      <c r="L969" s="63"/>
      <c r="M969" s="64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6"/>
      <c r="J970" s="63"/>
      <c r="K970" s="63"/>
      <c r="L970" s="63"/>
      <c r="M970" s="64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6"/>
      <c r="J971" s="63"/>
      <c r="K971" s="63"/>
      <c r="L971" s="63"/>
      <c r="M971" s="64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6"/>
      <c r="J972" s="63"/>
      <c r="K972" s="63"/>
      <c r="L972" s="63"/>
      <c r="M972" s="64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6"/>
      <c r="J973" s="63"/>
      <c r="K973" s="63"/>
      <c r="L973" s="63"/>
      <c r="M973" s="64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6"/>
      <c r="J974" s="63"/>
      <c r="K974" s="63"/>
      <c r="L974" s="63"/>
      <c r="M974" s="64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6"/>
      <c r="J975" s="63"/>
      <c r="K975" s="63"/>
      <c r="L975" s="63"/>
      <c r="M975" s="64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6"/>
      <c r="J976" s="63"/>
      <c r="K976" s="63"/>
      <c r="L976" s="63"/>
      <c r="M976" s="64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6"/>
      <c r="J977" s="63"/>
      <c r="K977" s="63"/>
      <c r="L977" s="63"/>
      <c r="M977" s="64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6"/>
      <c r="J978" s="63"/>
      <c r="K978" s="63"/>
      <c r="L978" s="63"/>
      <c r="M978" s="64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6"/>
      <c r="J979" s="63"/>
      <c r="K979" s="63"/>
      <c r="L979" s="63"/>
      <c r="M979" s="64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6"/>
      <c r="J980" s="63"/>
      <c r="K980" s="63"/>
      <c r="L980" s="63"/>
      <c r="M980" s="64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6"/>
      <c r="J981" s="63"/>
      <c r="K981" s="63"/>
      <c r="L981" s="63"/>
      <c r="M981" s="64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6"/>
      <c r="J982" s="63"/>
      <c r="K982" s="63"/>
      <c r="L982" s="63"/>
      <c r="M982" s="64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6"/>
      <c r="J983" s="63"/>
      <c r="K983" s="63"/>
      <c r="L983" s="63"/>
      <c r="M983" s="64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6"/>
      <c r="J984" s="63"/>
      <c r="K984" s="63"/>
      <c r="L984" s="63"/>
      <c r="M984" s="64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6"/>
      <c r="J985" s="63"/>
      <c r="K985" s="63"/>
      <c r="L985" s="63"/>
      <c r="M985" s="64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6"/>
      <c r="J986" s="63"/>
      <c r="K986" s="63"/>
      <c r="L986" s="63"/>
      <c r="M986" s="64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6"/>
      <c r="J987" s="63"/>
      <c r="K987" s="63"/>
      <c r="L987" s="63"/>
      <c r="M987" s="64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6"/>
      <c r="J988" s="63"/>
      <c r="K988" s="63"/>
      <c r="L988" s="63"/>
      <c r="M988" s="64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6"/>
      <c r="J989" s="63"/>
      <c r="K989" s="63"/>
      <c r="L989" s="63"/>
      <c r="M989" s="64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6"/>
      <c r="J990" s="63"/>
      <c r="K990" s="63"/>
      <c r="L990" s="63"/>
      <c r="M990" s="64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6"/>
      <c r="J991" s="63"/>
      <c r="K991" s="63"/>
      <c r="L991" s="63"/>
      <c r="M991" s="64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6"/>
      <c r="J992" s="63"/>
      <c r="K992" s="63"/>
      <c r="L992" s="63"/>
      <c r="M992" s="64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6"/>
      <c r="J993" s="63"/>
      <c r="K993" s="63"/>
      <c r="L993" s="63"/>
      <c r="M993" s="64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6"/>
      <c r="J994" s="63"/>
      <c r="K994" s="63"/>
      <c r="L994" s="63"/>
      <c r="M994" s="64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6"/>
      <c r="J995" s="63"/>
      <c r="K995" s="63"/>
      <c r="L995" s="63"/>
      <c r="M995" s="64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6"/>
      <c r="J996" s="63"/>
      <c r="K996" s="63"/>
      <c r="L996" s="63"/>
      <c r="M996" s="64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6"/>
      <c r="J997" s="63"/>
      <c r="K997" s="63"/>
      <c r="L997" s="63"/>
      <c r="M997" s="64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6"/>
      <c r="J998" s="63"/>
      <c r="K998" s="63"/>
      <c r="L998" s="63"/>
      <c r="M998" s="64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6"/>
      <c r="J999" s="63"/>
      <c r="K999" s="63"/>
      <c r="L999" s="63"/>
      <c r="M999" s="64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6"/>
      <c r="J1000" s="63"/>
      <c r="K1000" s="63"/>
      <c r="L1000" s="63"/>
      <c r="M1000" s="64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 ht="15.75" customHeight="1">
      <c r="A1001" s="63"/>
      <c r="B1001" s="63"/>
      <c r="C1001" s="63"/>
      <c r="D1001" s="63"/>
      <c r="E1001" s="63"/>
      <c r="F1001" s="63"/>
      <c r="G1001" s="63"/>
      <c r="H1001" s="63"/>
      <c r="I1001" s="66"/>
      <c r="J1001" s="63"/>
      <c r="K1001" s="63"/>
      <c r="L1001" s="63"/>
      <c r="M1001" s="64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  <row r="1002" ht="15.75" customHeight="1">
      <c r="A1002" s="63"/>
      <c r="B1002" s="63"/>
      <c r="C1002" s="63"/>
      <c r="D1002" s="63"/>
      <c r="E1002" s="63"/>
      <c r="F1002" s="63"/>
      <c r="G1002" s="63"/>
      <c r="H1002" s="63"/>
      <c r="I1002" s="66"/>
      <c r="J1002" s="63"/>
      <c r="K1002" s="63"/>
      <c r="L1002" s="63"/>
      <c r="M1002" s="64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</row>
    <row r="1003" ht="15.75" customHeight="1">
      <c r="A1003" s="63"/>
      <c r="B1003" s="63"/>
      <c r="C1003" s="63"/>
      <c r="D1003" s="63"/>
      <c r="E1003" s="63"/>
      <c r="F1003" s="63"/>
      <c r="G1003" s="63"/>
      <c r="H1003" s="63"/>
      <c r="I1003" s="66"/>
      <c r="J1003" s="63"/>
      <c r="K1003" s="63"/>
      <c r="L1003" s="63"/>
      <c r="M1003" s="64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</row>
    <row r="1004" ht="15.75" customHeight="1">
      <c r="A1004" s="63"/>
      <c r="B1004" s="63"/>
      <c r="C1004" s="63"/>
      <c r="D1004" s="63"/>
      <c r="E1004" s="63"/>
      <c r="F1004" s="63"/>
      <c r="G1004" s="63"/>
      <c r="H1004" s="63"/>
      <c r="I1004" s="66"/>
      <c r="J1004" s="63"/>
      <c r="K1004" s="63"/>
      <c r="L1004" s="63"/>
      <c r="M1004" s="64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</row>
    <row r="1005" ht="15.75" customHeight="1">
      <c r="A1005" s="63"/>
      <c r="B1005" s="63"/>
      <c r="C1005" s="63"/>
      <c r="D1005" s="63"/>
      <c r="E1005" s="63"/>
      <c r="F1005" s="63"/>
      <c r="G1005" s="63"/>
      <c r="H1005" s="63"/>
      <c r="I1005" s="66"/>
      <c r="J1005" s="63"/>
      <c r="K1005" s="63"/>
      <c r="L1005" s="63"/>
      <c r="M1005" s="64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</row>
    <row r="1006" ht="15.75" customHeight="1">
      <c r="A1006" s="63"/>
      <c r="B1006" s="63"/>
      <c r="C1006" s="63"/>
      <c r="D1006" s="63"/>
      <c r="E1006" s="63"/>
      <c r="F1006" s="63"/>
      <c r="G1006" s="63"/>
      <c r="H1006" s="63"/>
      <c r="I1006" s="66"/>
      <c r="J1006" s="63"/>
      <c r="K1006" s="63"/>
      <c r="L1006" s="63"/>
      <c r="M1006" s="64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</row>
    <row r="1007" ht="15.75" customHeight="1">
      <c r="A1007" s="63"/>
      <c r="B1007" s="63"/>
      <c r="C1007" s="63"/>
      <c r="D1007" s="63"/>
      <c r="E1007" s="63"/>
      <c r="F1007" s="63"/>
      <c r="G1007" s="63"/>
      <c r="H1007" s="63"/>
      <c r="I1007" s="66"/>
      <c r="J1007" s="63"/>
      <c r="K1007" s="63"/>
      <c r="L1007" s="63"/>
      <c r="M1007" s="64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</row>
    <row r="1008" ht="15.75" customHeight="1">
      <c r="A1008" s="63"/>
      <c r="B1008" s="63"/>
      <c r="C1008" s="63"/>
      <c r="D1008" s="63"/>
      <c r="E1008" s="63"/>
      <c r="F1008" s="63"/>
      <c r="G1008" s="63"/>
      <c r="H1008" s="63"/>
      <c r="I1008" s="66"/>
      <c r="J1008" s="63"/>
      <c r="K1008" s="63"/>
      <c r="L1008" s="63"/>
      <c r="M1008" s="64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</row>
    <row r="1009" ht="15.75" customHeight="1">
      <c r="A1009" s="63"/>
      <c r="B1009" s="63"/>
      <c r="C1009" s="63"/>
      <c r="D1009" s="63"/>
      <c r="E1009" s="63"/>
      <c r="F1009" s="63"/>
      <c r="G1009" s="63"/>
      <c r="H1009" s="63"/>
      <c r="I1009" s="66"/>
      <c r="J1009" s="63"/>
      <c r="K1009" s="63"/>
      <c r="L1009" s="63"/>
      <c r="M1009" s="64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</row>
    <row r="1010" ht="15.75" customHeight="1">
      <c r="A1010" s="63"/>
      <c r="B1010" s="63"/>
      <c r="C1010" s="63"/>
      <c r="D1010" s="63"/>
      <c r="E1010" s="63"/>
      <c r="F1010" s="63"/>
      <c r="G1010" s="63"/>
      <c r="H1010" s="63"/>
      <c r="I1010" s="66"/>
      <c r="J1010" s="63"/>
      <c r="K1010" s="63"/>
      <c r="L1010" s="63"/>
      <c r="M1010" s="64"/>
      <c r="N1010" s="63"/>
      <c r="O1010" s="63"/>
      <c r="P1010" s="63"/>
      <c r="Q1010" s="63"/>
      <c r="R1010" s="63"/>
      <c r="S1010" s="63"/>
      <c r="T1010" s="63"/>
      <c r="U1010" s="63"/>
      <c r="V1010" s="63"/>
      <c r="W1010" s="63"/>
      <c r="X1010" s="63"/>
      <c r="Y1010" s="63"/>
      <c r="Z1010" s="63"/>
    </row>
    <row r="1011" ht="15.75" customHeight="1">
      <c r="A1011" s="63"/>
      <c r="B1011" s="63"/>
      <c r="C1011" s="63"/>
      <c r="D1011" s="63"/>
      <c r="E1011" s="63"/>
      <c r="F1011" s="63"/>
      <c r="G1011" s="63"/>
      <c r="H1011" s="63"/>
      <c r="I1011" s="66"/>
      <c r="J1011" s="63"/>
      <c r="K1011" s="63"/>
      <c r="L1011" s="63"/>
      <c r="M1011" s="64"/>
      <c r="N1011" s="63"/>
      <c r="O1011" s="63"/>
      <c r="P1011" s="63"/>
      <c r="Q1011" s="63"/>
      <c r="R1011" s="63"/>
      <c r="S1011" s="63"/>
      <c r="T1011" s="63"/>
      <c r="U1011" s="63"/>
      <c r="V1011" s="63"/>
      <c r="W1011" s="63"/>
      <c r="X1011" s="63"/>
      <c r="Y1011" s="63"/>
      <c r="Z1011" s="63"/>
    </row>
    <row r="1012" ht="15.75" customHeight="1">
      <c r="A1012" s="63"/>
      <c r="B1012" s="63"/>
      <c r="C1012" s="63"/>
      <c r="D1012" s="63"/>
      <c r="E1012" s="63"/>
      <c r="F1012" s="63"/>
      <c r="G1012" s="63"/>
      <c r="H1012" s="63"/>
      <c r="I1012" s="66"/>
      <c r="J1012" s="63"/>
      <c r="K1012" s="63"/>
      <c r="L1012" s="63"/>
      <c r="M1012" s="64"/>
      <c r="N1012" s="63"/>
      <c r="O1012" s="63"/>
      <c r="P1012" s="63"/>
      <c r="Q1012" s="63"/>
      <c r="R1012" s="63"/>
      <c r="S1012" s="63"/>
      <c r="T1012" s="63"/>
      <c r="U1012" s="63"/>
      <c r="V1012" s="63"/>
      <c r="W1012" s="63"/>
      <c r="X1012" s="63"/>
      <c r="Y1012" s="63"/>
      <c r="Z1012" s="63"/>
    </row>
    <row r="1013" ht="15.75" customHeight="1">
      <c r="A1013" s="63"/>
      <c r="B1013" s="63"/>
      <c r="C1013" s="63"/>
      <c r="D1013" s="63"/>
      <c r="E1013" s="63"/>
      <c r="F1013" s="63"/>
      <c r="G1013" s="63"/>
      <c r="H1013" s="63"/>
      <c r="I1013" s="66"/>
      <c r="J1013" s="63"/>
      <c r="K1013" s="63"/>
      <c r="L1013" s="63"/>
      <c r="M1013" s="64"/>
      <c r="N1013" s="63"/>
      <c r="O1013" s="63"/>
      <c r="P1013" s="63"/>
      <c r="Q1013" s="63"/>
      <c r="R1013" s="63"/>
      <c r="S1013" s="63"/>
      <c r="T1013" s="63"/>
      <c r="U1013" s="63"/>
      <c r="V1013" s="63"/>
      <c r="W1013" s="63"/>
      <c r="X1013" s="63"/>
      <c r="Y1013" s="63"/>
      <c r="Z1013" s="63"/>
    </row>
    <row r="1014" ht="15.75" customHeight="1">
      <c r="A1014" s="63"/>
      <c r="B1014" s="63"/>
      <c r="C1014" s="63"/>
      <c r="D1014" s="63"/>
      <c r="E1014" s="63"/>
      <c r="F1014" s="63"/>
      <c r="G1014" s="63"/>
      <c r="H1014" s="63"/>
      <c r="I1014" s="66"/>
      <c r="J1014" s="63"/>
      <c r="K1014" s="63"/>
      <c r="L1014" s="63"/>
      <c r="M1014" s="64"/>
      <c r="N1014" s="63"/>
      <c r="O1014" s="63"/>
      <c r="P1014" s="63"/>
      <c r="Q1014" s="63"/>
      <c r="R1014" s="63"/>
      <c r="S1014" s="63"/>
      <c r="T1014" s="63"/>
      <c r="U1014" s="63"/>
      <c r="V1014" s="63"/>
      <c r="W1014" s="63"/>
      <c r="X1014" s="63"/>
      <c r="Y1014" s="63"/>
      <c r="Z1014" s="63"/>
    </row>
    <row r="1015" ht="15.75" customHeight="1">
      <c r="A1015" s="63"/>
      <c r="B1015" s="63"/>
      <c r="C1015" s="63"/>
      <c r="D1015" s="63"/>
      <c r="E1015" s="63"/>
      <c r="F1015" s="63"/>
      <c r="G1015" s="63"/>
      <c r="H1015" s="63"/>
      <c r="I1015" s="66"/>
      <c r="J1015" s="63"/>
      <c r="K1015" s="63"/>
      <c r="L1015" s="63"/>
      <c r="M1015" s="64"/>
      <c r="N1015" s="63"/>
      <c r="O1015" s="63"/>
      <c r="P1015" s="63"/>
      <c r="Q1015" s="63"/>
      <c r="R1015" s="63"/>
      <c r="S1015" s="63"/>
      <c r="T1015" s="63"/>
      <c r="U1015" s="63"/>
      <c r="V1015" s="63"/>
      <c r="W1015" s="63"/>
      <c r="X1015" s="63"/>
      <c r="Y1015" s="63"/>
      <c r="Z1015" s="63"/>
    </row>
    <row r="1016" ht="15.75" customHeight="1">
      <c r="A1016" s="63"/>
      <c r="B1016" s="63"/>
      <c r="C1016" s="63"/>
      <c r="D1016" s="63"/>
      <c r="E1016" s="63"/>
      <c r="F1016" s="63"/>
      <c r="G1016" s="63"/>
      <c r="H1016" s="63"/>
      <c r="I1016" s="66"/>
      <c r="J1016" s="63"/>
      <c r="K1016" s="63"/>
      <c r="L1016" s="63"/>
      <c r="M1016" s="64"/>
      <c r="N1016" s="63"/>
      <c r="O1016" s="63"/>
      <c r="P1016" s="63"/>
      <c r="Q1016" s="63"/>
      <c r="R1016" s="63"/>
      <c r="S1016" s="63"/>
      <c r="T1016" s="63"/>
      <c r="U1016" s="63"/>
      <c r="V1016" s="63"/>
      <c r="W1016" s="63"/>
      <c r="X1016" s="63"/>
      <c r="Y1016" s="63"/>
      <c r="Z1016" s="63"/>
    </row>
    <row r="1017" ht="15.75" customHeight="1">
      <c r="A1017" s="63"/>
      <c r="B1017" s="63"/>
      <c r="C1017" s="63"/>
      <c r="D1017" s="63"/>
      <c r="E1017" s="63"/>
      <c r="F1017" s="63"/>
      <c r="G1017" s="63"/>
      <c r="H1017" s="63"/>
      <c r="I1017" s="66"/>
      <c r="J1017" s="63"/>
      <c r="K1017" s="63"/>
      <c r="L1017" s="63"/>
      <c r="M1017" s="64"/>
      <c r="N1017" s="63"/>
      <c r="O1017" s="63"/>
      <c r="P1017" s="63"/>
      <c r="Q1017" s="63"/>
      <c r="R1017" s="63"/>
      <c r="S1017" s="63"/>
      <c r="T1017" s="63"/>
      <c r="U1017" s="63"/>
      <c r="V1017" s="63"/>
      <c r="W1017" s="63"/>
      <c r="X1017" s="63"/>
      <c r="Y1017" s="63"/>
      <c r="Z1017" s="63"/>
    </row>
    <row r="1018" ht="15.75" customHeight="1">
      <c r="A1018" s="63"/>
      <c r="B1018" s="63"/>
      <c r="C1018" s="63"/>
      <c r="D1018" s="63"/>
      <c r="E1018" s="63"/>
      <c r="F1018" s="63"/>
      <c r="G1018" s="63"/>
      <c r="H1018" s="63"/>
      <c r="I1018" s="66"/>
      <c r="J1018" s="63"/>
      <c r="K1018" s="63"/>
      <c r="L1018" s="63"/>
      <c r="M1018" s="64"/>
      <c r="N1018" s="63"/>
      <c r="O1018" s="63"/>
      <c r="P1018" s="63"/>
      <c r="Q1018" s="63"/>
      <c r="R1018" s="63"/>
      <c r="S1018" s="63"/>
      <c r="T1018" s="63"/>
      <c r="U1018" s="63"/>
      <c r="V1018" s="63"/>
      <c r="W1018" s="63"/>
      <c r="X1018" s="63"/>
      <c r="Y1018" s="63"/>
      <c r="Z1018" s="63"/>
    </row>
    <row r="1019" ht="15.75" customHeight="1">
      <c r="A1019" s="63"/>
      <c r="B1019" s="63"/>
      <c r="C1019" s="63"/>
      <c r="D1019" s="63"/>
      <c r="E1019" s="63"/>
      <c r="F1019" s="63"/>
      <c r="G1019" s="63"/>
      <c r="H1019" s="63"/>
      <c r="I1019" s="66"/>
      <c r="J1019" s="63"/>
      <c r="K1019" s="63"/>
      <c r="L1019" s="63"/>
      <c r="M1019" s="64"/>
      <c r="N1019" s="63"/>
      <c r="O1019" s="63"/>
      <c r="P1019" s="63"/>
      <c r="Q1019" s="63"/>
      <c r="R1019" s="63"/>
      <c r="S1019" s="63"/>
      <c r="T1019" s="63"/>
      <c r="U1019" s="63"/>
      <c r="V1019" s="63"/>
      <c r="W1019" s="63"/>
      <c r="X1019" s="63"/>
      <c r="Y1019" s="63"/>
      <c r="Z1019" s="63"/>
    </row>
    <row r="1020" ht="15.75" customHeight="1">
      <c r="A1020" s="63"/>
      <c r="B1020" s="63"/>
      <c r="C1020" s="63"/>
      <c r="D1020" s="63"/>
      <c r="E1020" s="63"/>
      <c r="F1020" s="63"/>
      <c r="G1020" s="63"/>
      <c r="H1020" s="63"/>
      <c r="I1020" s="66"/>
      <c r="J1020" s="63"/>
      <c r="K1020" s="63"/>
      <c r="L1020" s="63"/>
      <c r="M1020" s="64"/>
      <c r="N1020" s="63"/>
      <c r="O1020" s="63"/>
      <c r="P1020" s="63"/>
      <c r="Q1020" s="63"/>
      <c r="R1020" s="63"/>
      <c r="S1020" s="63"/>
      <c r="T1020" s="63"/>
      <c r="U1020" s="63"/>
      <c r="V1020" s="63"/>
      <c r="W1020" s="63"/>
      <c r="X1020" s="63"/>
      <c r="Y1020" s="63"/>
      <c r="Z1020" s="63"/>
    </row>
  </sheetData>
  <mergeCells count="1">
    <mergeCell ref="A1:K2"/>
  </mergeCells>
  <dataValidations>
    <dataValidation type="custom" allowBlank="1" showDropDown="1" sqref="E10:K63">
      <formula1>OR(TIMEVALUE(TEXT(E10, "hh:mm:ss"))=E10, AND(ISNUMBER(E10), LEFT(CELL("format", E10))="D"))</formula1>
    </dataValidation>
    <dataValidation type="custom" allowBlank="1" showDropDown="1" sqref="A10:A63">
      <formula1>OR(NOT(ISERROR(DATEVALUE(A10))), AND(ISNUMBER(A10), LEFT(CELL("format", A10))="D"))</formula1>
    </dataValidation>
    <dataValidation type="custom" allowBlank="1" showDropDown="1" sqref="F6:H7 K6:K7">
      <formula1>AND(ISNUMBER(F6),(NOT(OR(NOT(ISERROR(DATEVALUE(F6))), AND(ISNUMBER(F6), LEFT(CELL("format", F6))="D")))))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75"/>
    <col customWidth="1" min="3" max="3" width="18.0"/>
    <col customWidth="1" min="4" max="4" width="13.0"/>
    <col customWidth="1" min="5" max="5" width="12.88"/>
    <col customWidth="1" min="6" max="6" width="13.38"/>
    <col customWidth="1" min="7" max="7" width="15.25"/>
    <col customWidth="1" min="8" max="8" width="17.25"/>
    <col customWidth="1" min="9" max="9" width="17.63"/>
    <col customWidth="1" min="10" max="10" width="16.63"/>
    <col customWidth="1" min="11" max="11" width="20.25"/>
    <col customWidth="1" hidden="1" min="12" max="13" width="7.63"/>
    <col customWidth="1" min="14" max="26" width="7.63"/>
  </cols>
  <sheetData>
    <row r="1" ht="15.0" customHeight="1">
      <c r="A1" s="60">
        <v>46082.0</v>
      </c>
      <c r="B1" s="2"/>
      <c r="C1" s="2"/>
      <c r="D1" s="2"/>
      <c r="E1" s="2"/>
      <c r="F1" s="2"/>
      <c r="G1" s="2"/>
      <c r="H1" s="2"/>
      <c r="I1" s="2"/>
      <c r="J1" s="2"/>
      <c r="K1" s="3"/>
      <c r="L1" s="61"/>
      <c r="M1" s="62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63"/>
      <c r="M2" s="64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3"/>
      <c r="B3" s="63"/>
      <c r="C3" s="63"/>
      <c r="D3" s="63"/>
      <c r="E3" s="63"/>
      <c r="F3" s="65"/>
      <c r="G3" s="66"/>
      <c r="H3" s="66"/>
      <c r="I3" s="66"/>
      <c r="J3" s="65"/>
      <c r="K3" s="66"/>
      <c r="L3" s="63"/>
      <c r="M3" s="64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3"/>
      <c r="B4" s="63"/>
      <c r="C4" s="63"/>
      <c r="D4" s="63"/>
      <c r="E4" s="63"/>
      <c r="F4" s="65"/>
      <c r="G4" s="66"/>
      <c r="H4" s="66"/>
      <c r="I4" s="66"/>
      <c r="J4" s="65"/>
      <c r="K4" s="66"/>
      <c r="L4" s="63"/>
      <c r="M4" s="64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22.5" customHeight="1">
      <c r="A5" s="11" t="s">
        <v>34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3" t="s">
        <v>7</v>
      </c>
      <c r="H5" s="13" t="s">
        <v>8</v>
      </c>
      <c r="I5" s="13" t="s">
        <v>35</v>
      </c>
      <c r="J5" s="13" t="s">
        <v>36</v>
      </c>
      <c r="K5" s="12" t="s">
        <v>37</v>
      </c>
      <c r="L5" s="63"/>
      <c r="M5" s="64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22.5" customHeight="1">
      <c r="A6" s="21">
        <v>1.0</v>
      </c>
      <c r="B6" s="34" t="str">
        <f>VLOOKUP(A6,Employees!A:B,2,FALSE)</f>
        <v>Rajat Hela</v>
      </c>
      <c r="C6" s="34">
        <f>VLOOKUP(A6,Employees!A:C,3,FALSE)</f>
        <v>9023270731</v>
      </c>
      <c r="D6" s="34" t="str">
        <f>VLOOKUP(A6,Employees!A:D,4,FALSE)</f>
        <v>Production</v>
      </c>
      <c r="E6" s="67" t="str">
        <f>VLOOKUP(A6,Employees!A:E,5,FALSE)</f>
        <v>CNC Machine Operator</v>
      </c>
      <c r="F6" s="68">
        <f>VLOOKUP(A6,Employees!A:F,6,FALSE)</f>
        <v>17000</v>
      </c>
      <c r="G6" s="69">
        <f>VLOOKUP(A6,Employees!A:G,7,FALSE)</f>
        <v>653.8461538</v>
      </c>
      <c r="H6" s="69">
        <f>VLOOKUP(A6,Employees!A:H,8,FALSE)</f>
        <v>59.44055944</v>
      </c>
      <c r="I6" s="70">
        <f>SUMIFS('03-2026'!$L$10:$L$291,
        '03-2026'!$B$10:$B$291,
        $A6)</f>
        <v>278.3</v>
      </c>
      <c r="J6" s="70">
        <f>SUMIFS('03-2026'!$M$10:$M$291,
        '03-2026'!$B$10:$B$291,
        $A6)</f>
        <v>17</v>
      </c>
      <c r="K6" s="71">
        <f>('03-2026'!$I6+'03-2026'!$J6)*'03-2026'!$H6</f>
        <v>17552.7972</v>
      </c>
      <c r="L6" s="63"/>
      <c r="M6" s="64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22.5" customHeight="1">
      <c r="A7" s="21">
        <v>2.0</v>
      </c>
      <c r="B7" s="34" t="str">
        <f>VLOOKUP(A7,Employees!A:B,2,FALSE)</f>
        <v>Umesh Kumar</v>
      </c>
      <c r="C7" s="34" t="str">
        <f>VLOOKUP(A7,Employees!A:C,3,FALSE)</f>
        <v/>
      </c>
      <c r="D7" s="34" t="str">
        <f>VLOOKUP(A7,Employees!A:D,4,FALSE)</f>
        <v>Production</v>
      </c>
      <c r="E7" s="67" t="str">
        <f>VLOOKUP(A7,Employees!A:E,5,FALSE)</f>
        <v>CNC Machine Operator</v>
      </c>
      <c r="F7" s="106">
        <v>18000.0</v>
      </c>
      <c r="G7" s="69">
        <f>VLOOKUP(A7,Employees!A:G,7,FALSE)</f>
        <v>692.3076923</v>
      </c>
      <c r="H7" s="69">
        <f>VLOOKUP(A7,Employees!A:H,8,FALSE)</f>
        <v>62.93706294</v>
      </c>
      <c r="I7" s="70">
        <f>SUMIFS('03-2026'!$L$10:$L$291,
        '03-2026'!$B$10:$B$291,
        $A7)</f>
        <v>261.4</v>
      </c>
      <c r="J7" s="70">
        <f>SUMIFS('03-2026'!$M$10:$M$291,
        '03-2026'!$B$10:$B$291,
        $A7)</f>
        <v>9.9</v>
      </c>
      <c r="K7" s="71">
        <f>('03-2026'!$I7+'03-2026'!$J7)*'03-2026'!$H7</f>
        <v>17074.82517</v>
      </c>
      <c r="L7" s="63"/>
      <c r="M7" s="64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63"/>
      <c r="B8" s="63"/>
      <c r="C8" s="63"/>
      <c r="D8" s="63"/>
      <c r="E8" s="63"/>
      <c r="F8" s="63"/>
      <c r="G8" s="63"/>
      <c r="H8" s="63"/>
      <c r="I8" s="66"/>
      <c r="J8" s="63"/>
      <c r="K8" s="63"/>
      <c r="L8" s="63"/>
      <c r="M8" s="64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22.5" customHeight="1">
      <c r="A9" s="107" t="s">
        <v>15</v>
      </c>
      <c r="B9" s="107" t="s">
        <v>1</v>
      </c>
      <c r="C9" s="107" t="s">
        <v>2</v>
      </c>
      <c r="D9" s="108" t="s">
        <v>38</v>
      </c>
      <c r="E9" s="108" t="s">
        <v>39</v>
      </c>
      <c r="F9" s="108" t="s">
        <v>40</v>
      </c>
      <c r="G9" s="108" t="s">
        <v>41</v>
      </c>
      <c r="H9" s="109" t="s">
        <v>42</v>
      </c>
      <c r="I9" s="109" t="s">
        <v>43</v>
      </c>
      <c r="J9" s="107" t="s">
        <v>44</v>
      </c>
      <c r="K9" s="109" t="s">
        <v>45</v>
      </c>
      <c r="L9" s="21" t="s">
        <v>46</v>
      </c>
      <c r="M9" s="21" t="s">
        <v>47</v>
      </c>
      <c r="N9" s="76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22.5" customHeight="1">
      <c r="A10" s="110"/>
      <c r="B10" s="111"/>
      <c r="C10" s="111"/>
      <c r="D10" s="112"/>
      <c r="E10" s="113"/>
      <c r="F10" s="113"/>
      <c r="G10" s="113"/>
      <c r="H10" s="114"/>
      <c r="I10" s="114"/>
      <c r="J10" s="115"/>
      <c r="K10" s="114"/>
      <c r="L10" s="116" t="str">
        <f t="shared" ref="L10:M10" si="1">IF(J10="","",
   IFERROR(
      HOUR(J10)+MINUTE(J10)/100,
      HOUR(TIMEVALUE(SUBSTITUTE(J10,CHAR(160),"")))
      +MINUTE(TIMEVALUE(SUBSTITUTE(J10,CHAR(160),"")))/100
   )
)
</f>
        <v/>
      </c>
      <c r="M10" s="116" t="str">
        <f t="shared" si="1"/>
        <v/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22.5" customHeight="1">
      <c r="A11" s="117">
        <v>46082.0</v>
      </c>
      <c r="B11" s="118">
        <v>1.0</v>
      </c>
      <c r="C11" s="111" t="str">
        <f>VLOOKUP(B11,Employees!A:B,2,FALSE)</f>
        <v>Rajat Hela</v>
      </c>
      <c r="D11" s="119">
        <v>0.3333333333333333</v>
      </c>
      <c r="E11" s="120">
        <v>0.5416666666666666</v>
      </c>
      <c r="F11" s="121">
        <v>0.5833333333333334</v>
      </c>
      <c r="G11" s="121">
        <v>0.8333333333333334</v>
      </c>
      <c r="H11" s="114">
        <f t="shared" ref="H11:H16" si="2">F11 - E11</f>
        <v>0.04166666667</v>
      </c>
      <c r="I11" s="114">
        <f t="shared" ref="I11:I16" si="3">G11 - D11</f>
        <v>0.5</v>
      </c>
      <c r="J11" s="115">
        <f t="shared" ref="J11:J16" si="4">I11 - H11</f>
        <v>0.4583333333</v>
      </c>
      <c r="K11" s="114">
        <f t="shared" ref="K11:K16" si="5">MAX(
  0,
  MOD(
    IFERROR(
      J11,
      TIMEVALUE(SUBSTITUTE(J11,CHAR(160),""))
    ),
    1
  ) - TIME(11,0,0)
)
</f>
        <v>0</v>
      </c>
      <c r="L11" s="116">
        <f t="shared" ref="L11:L68" si="6">IF(J11="","",
   IFERROR(
      HOUR(MIN(MOD(J11,1), TIME(11,0,0))) +
      MINUTE(MIN(MOD(J11,1), TIME(11,0,0)))/100,
      HOUR(MIN(MOD(TIMEVALUE(SUBSTITUTE(J11,CHAR(160),"")),1), TIME(11,0,0))) +
      MINUTE(MIN(MOD(TIMEVALUE(SUBSTITUTE(J11,CHAR(160),"")),1), TIME(11,0,0)))/100
   )
)
</f>
        <v>11</v>
      </c>
      <c r="M11" s="116">
        <f t="shared" ref="M11:M68" si="7">IF(K11="","",
   IFERROR(
      HOUR(K11)+MINUTE(K11)/100,
      HOUR(TIMEVALUE(SUBSTITUTE(K11,CHAR(160),"")))
      +MINUTE(TIMEVALUE(SUBSTITUTE(K11,CHAR(160),"")))/100
   )
)
</f>
        <v>0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22.5" customHeight="1">
      <c r="A12" s="117"/>
      <c r="B12" s="118">
        <v>2.0</v>
      </c>
      <c r="C12" s="111" t="str">
        <f>VLOOKUP(B12,Employees!A:B,2,FALSE)</f>
        <v>Umesh Kumar</v>
      </c>
      <c r="D12" s="121">
        <v>0.8333333333333334</v>
      </c>
      <c r="E12" s="120"/>
      <c r="F12" s="121"/>
      <c r="G12" s="121">
        <v>0.3333333333333333</v>
      </c>
      <c r="H12" s="114">
        <f t="shared" si="2"/>
        <v>0</v>
      </c>
      <c r="I12" s="114">
        <f t="shared" si="3"/>
        <v>-0.5</v>
      </c>
      <c r="J12" s="115">
        <f t="shared" si="4"/>
        <v>-0.5</v>
      </c>
      <c r="K12" s="114">
        <f t="shared" si="5"/>
        <v>0.04166666667</v>
      </c>
      <c r="L12" s="116">
        <f t="shared" si="6"/>
        <v>11</v>
      </c>
      <c r="M12" s="116">
        <f t="shared" si="7"/>
        <v>1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22.5" customHeight="1">
      <c r="A13" s="117">
        <v>46083.0</v>
      </c>
      <c r="B13" s="118">
        <v>1.0</v>
      </c>
      <c r="C13" s="111" t="str">
        <f>VLOOKUP(B13,Employees!A:B,2,FALSE)</f>
        <v>Rajat Hela</v>
      </c>
      <c r="D13" s="119">
        <v>0.3333333333333333</v>
      </c>
      <c r="E13" s="120">
        <v>0.5416666666666666</v>
      </c>
      <c r="F13" s="121">
        <v>0.5833333333333334</v>
      </c>
      <c r="G13" s="121">
        <v>0.8333333333333334</v>
      </c>
      <c r="H13" s="114">
        <f t="shared" si="2"/>
        <v>0.04166666667</v>
      </c>
      <c r="I13" s="114">
        <f t="shared" si="3"/>
        <v>0.5</v>
      </c>
      <c r="J13" s="115">
        <f t="shared" si="4"/>
        <v>0.4583333333</v>
      </c>
      <c r="K13" s="114">
        <f t="shared" si="5"/>
        <v>0</v>
      </c>
      <c r="L13" s="116">
        <f t="shared" si="6"/>
        <v>11</v>
      </c>
      <c r="M13" s="116">
        <f t="shared" si="7"/>
        <v>0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22.5" customHeight="1">
      <c r="A14" s="117"/>
      <c r="B14" s="118">
        <v>2.0</v>
      </c>
      <c r="C14" s="111" t="str">
        <f>VLOOKUP(B14,Employees!A:B,2,FALSE)</f>
        <v>Umesh Kumar</v>
      </c>
      <c r="D14" s="121">
        <v>0.8333333333333334</v>
      </c>
      <c r="E14" s="120"/>
      <c r="F14" s="121"/>
      <c r="G14" s="121">
        <v>0.3333333333333333</v>
      </c>
      <c r="H14" s="114">
        <f t="shared" si="2"/>
        <v>0</v>
      </c>
      <c r="I14" s="114">
        <f t="shared" si="3"/>
        <v>-0.5</v>
      </c>
      <c r="J14" s="115">
        <f t="shared" si="4"/>
        <v>-0.5</v>
      </c>
      <c r="K14" s="114">
        <f t="shared" si="5"/>
        <v>0.04166666667</v>
      </c>
      <c r="L14" s="116">
        <f t="shared" si="6"/>
        <v>11</v>
      </c>
      <c r="M14" s="116">
        <f t="shared" si="7"/>
        <v>1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22.5" customHeight="1">
      <c r="A15" s="117">
        <v>46084.0</v>
      </c>
      <c r="B15" s="118">
        <v>1.0</v>
      </c>
      <c r="C15" s="111" t="str">
        <f>VLOOKUP(B15,Employees!A:B,2,FALSE)</f>
        <v>Rajat Hela</v>
      </c>
      <c r="D15" s="119">
        <v>0.3333333333333333</v>
      </c>
      <c r="E15" s="120">
        <v>0.5520833333333334</v>
      </c>
      <c r="F15" s="121">
        <v>0.59375</v>
      </c>
      <c r="G15" s="121">
        <v>0.7083333333333334</v>
      </c>
      <c r="H15" s="114">
        <f t="shared" si="2"/>
        <v>0.04166666667</v>
      </c>
      <c r="I15" s="114">
        <f t="shared" si="3"/>
        <v>0.375</v>
      </c>
      <c r="J15" s="115">
        <f t="shared" si="4"/>
        <v>0.3333333333</v>
      </c>
      <c r="K15" s="114">
        <f t="shared" si="5"/>
        <v>0</v>
      </c>
      <c r="L15" s="116">
        <f t="shared" si="6"/>
        <v>8</v>
      </c>
      <c r="M15" s="116">
        <f t="shared" si="7"/>
        <v>0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22.5" customHeight="1">
      <c r="A16" s="117"/>
      <c r="B16" s="118">
        <v>2.0</v>
      </c>
      <c r="C16" s="111" t="str">
        <f>VLOOKUP(B16,Employees!A:B,2,FALSE)</f>
        <v>Umesh Kumar</v>
      </c>
      <c r="D16" s="121">
        <v>0.7083333333333334</v>
      </c>
      <c r="E16" s="120"/>
      <c r="F16" s="121"/>
      <c r="G16" s="121">
        <v>0.25</v>
      </c>
      <c r="H16" s="114">
        <f t="shared" si="2"/>
        <v>0</v>
      </c>
      <c r="I16" s="114">
        <f t="shared" si="3"/>
        <v>-0.4583333333</v>
      </c>
      <c r="J16" s="115">
        <f t="shared" si="4"/>
        <v>-0.4583333333</v>
      </c>
      <c r="K16" s="114">
        <f t="shared" si="5"/>
        <v>0.08333333333</v>
      </c>
      <c r="L16" s="116">
        <f t="shared" si="6"/>
        <v>11</v>
      </c>
      <c r="M16" s="116">
        <f t="shared" si="7"/>
        <v>2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22.5" customHeight="1">
      <c r="A17" s="117">
        <v>46085.0</v>
      </c>
      <c r="B17" s="118"/>
      <c r="C17" s="111"/>
      <c r="D17" s="119"/>
      <c r="E17" s="120"/>
      <c r="F17" s="121"/>
      <c r="G17" s="118" t="s">
        <v>48</v>
      </c>
      <c r="H17" s="114"/>
      <c r="I17" s="114"/>
      <c r="J17" s="115"/>
      <c r="K17" s="114"/>
      <c r="L17" s="116" t="str">
        <f t="shared" si="6"/>
        <v/>
      </c>
      <c r="M17" s="116" t="str">
        <f t="shared" si="7"/>
        <v/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22.5" customHeight="1">
      <c r="A18" s="117">
        <v>46086.0</v>
      </c>
      <c r="B18" s="118">
        <v>2.0</v>
      </c>
      <c r="C18" s="111" t="str">
        <f>VLOOKUP(B18,Employees!A:B,2,FALSE)</f>
        <v>Umesh Kumar</v>
      </c>
      <c r="D18" s="119">
        <v>0.375</v>
      </c>
      <c r="E18" s="120">
        <v>0.5416666666666666</v>
      </c>
      <c r="F18" s="121">
        <v>0.625</v>
      </c>
      <c r="G18" s="121">
        <v>0.8333333333333334</v>
      </c>
      <c r="H18" s="114">
        <f t="shared" ref="H18:H29" si="8">F18 - E18</f>
        <v>0.08333333333</v>
      </c>
      <c r="I18" s="114">
        <f t="shared" ref="I18:I27" si="9">G18 - D18</f>
        <v>0.4583333333</v>
      </c>
      <c r="J18" s="115">
        <f t="shared" ref="J18:J29" si="10">I18 - H18</f>
        <v>0.375</v>
      </c>
      <c r="K18" s="114">
        <f t="shared" ref="K18:K29" si="11">MAX(
  0,
  MOD(
    IFERROR(
      J18,
      TIMEVALUE(SUBSTITUTE(J18,CHAR(160),""))
    ),
    1
  ) - TIME(11,0,0)
)
</f>
        <v>0</v>
      </c>
      <c r="L18" s="116">
        <f t="shared" si="6"/>
        <v>9</v>
      </c>
      <c r="M18" s="116">
        <f t="shared" si="7"/>
        <v>0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22.5" customHeight="1">
      <c r="A19" s="117"/>
      <c r="B19" s="118">
        <v>1.0</v>
      </c>
      <c r="C19" s="111" t="str">
        <f>VLOOKUP(B19,Employees!A:B,2,FALSE)</f>
        <v>Rajat Hela</v>
      </c>
      <c r="D19" s="121">
        <v>0.8333333333333334</v>
      </c>
      <c r="E19" s="120"/>
      <c r="F19" s="121"/>
      <c r="G19" s="121">
        <v>0.3333333333333333</v>
      </c>
      <c r="H19" s="114">
        <f t="shared" si="8"/>
        <v>0</v>
      </c>
      <c r="I19" s="114">
        <f t="shared" si="9"/>
        <v>-0.5</v>
      </c>
      <c r="J19" s="115">
        <f t="shared" si="10"/>
        <v>-0.5</v>
      </c>
      <c r="K19" s="114">
        <f t="shared" si="11"/>
        <v>0.04166666667</v>
      </c>
      <c r="L19" s="116">
        <f t="shared" si="6"/>
        <v>11</v>
      </c>
      <c r="M19" s="116">
        <f t="shared" si="7"/>
        <v>1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22.5" customHeight="1">
      <c r="A20" s="117">
        <v>46087.0</v>
      </c>
      <c r="B20" s="118">
        <v>2.0</v>
      </c>
      <c r="C20" s="111" t="str">
        <f>VLOOKUP(B20,Employees!A:B,2,FALSE)</f>
        <v>Umesh Kumar</v>
      </c>
      <c r="D20" s="119">
        <v>0.3333333333333333</v>
      </c>
      <c r="E20" s="120">
        <v>0.5416666666666666</v>
      </c>
      <c r="F20" s="121">
        <v>0.5833333333333334</v>
      </c>
      <c r="G20" s="121">
        <v>0.8333333333333334</v>
      </c>
      <c r="H20" s="114">
        <f t="shared" si="8"/>
        <v>0.04166666667</v>
      </c>
      <c r="I20" s="114">
        <f t="shared" si="9"/>
        <v>0.5</v>
      </c>
      <c r="J20" s="115">
        <f t="shared" si="10"/>
        <v>0.4583333333</v>
      </c>
      <c r="K20" s="114">
        <f t="shared" si="11"/>
        <v>0</v>
      </c>
      <c r="L20" s="116">
        <f t="shared" si="6"/>
        <v>11</v>
      </c>
      <c r="M20" s="116">
        <f t="shared" si="7"/>
        <v>0</v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22.5" customHeight="1">
      <c r="A21" s="117"/>
      <c r="B21" s="118">
        <v>2.0</v>
      </c>
      <c r="C21" s="111" t="str">
        <f>VLOOKUP(B21,Employees!A:B,2,FALSE)</f>
        <v>Umesh Kumar</v>
      </c>
      <c r="D21" s="121">
        <v>0.8819444444444444</v>
      </c>
      <c r="E21" s="120"/>
      <c r="F21" s="121"/>
      <c r="G21" s="121">
        <v>0.04861111111111111</v>
      </c>
      <c r="H21" s="114">
        <f t="shared" si="8"/>
        <v>0</v>
      </c>
      <c r="I21" s="114">
        <f t="shared" si="9"/>
        <v>-0.8333333333</v>
      </c>
      <c r="J21" s="115">
        <f t="shared" si="10"/>
        <v>-0.8333333333</v>
      </c>
      <c r="K21" s="114">
        <f t="shared" si="11"/>
        <v>0</v>
      </c>
      <c r="L21" s="116">
        <f t="shared" si="6"/>
        <v>4</v>
      </c>
      <c r="M21" s="116">
        <f t="shared" si="7"/>
        <v>0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22.5" customHeight="1">
      <c r="A22" s="117">
        <v>46088.0</v>
      </c>
      <c r="B22" s="118">
        <v>2.0</v>
      </c>
      <c r="C22" s="111" t="str">
        <f>VLOOKUP(B22,Employees!A:B,2,FALSE)</f>
        <v>Umesh Kumar</v>
      </c>
      <c r="D22" s="119">
        <v>0.3541666666666667</v>
      </c>
      <c r="E22" s="120">
        <v>0.5416666666666666</v>
      </c>
      <c r="F22" s="121">
        <v>0.5833333333333334</v>
      </c>
      <c r="G22" s="121">
        <v>0.8333333333333334</v>
      </c>
      <c r="H22" s="114">
        <f t="shared" si="8"/>
        <v>0.04166666667</v>
      </c>
      <c r="I22" s="114">
        <f t="shared" si="9"/>
        <v>0.4791666667</v>
      </c>
      <c r="J22" s="115">
        <f t="shared" si="10"/>
        <v>0.4375</v>
      </c>
      <c r="K22" s="114">
        <f t="shared" si="11"/>
        <v>0</v>
      </c>
      <c r="L22" s="116">
        <f t="shared" si="6"/>
        <v>10.3</v>
      </c>
      <c r="M22" s="116">
        <f t="shared" si="7"/>
        <v>0</v>
      </c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22.5" customHeight="1">
      <c r="A23" s="117"/>
      <c r="B23" s="118">
        <v>1.0</v>
      </c>
      <c r="C23" s="111" t="str">
        <f>VLOOKUP(B23,Employees!A:B,2,FALSE)</f>
        <v>Rajat Hela</v>
      </c>
      <c r="D23" s="121">
        <v>0.8333333333333334</v>
      </c>
      <c r="E23" s="120"/>
      <c r="F23" s="121"/>
      <c r="G23" s="121">
        <v>0.3333333333333333</v>
      </c>
      <c r="H23" s="114">
        <f t="shared" si="8"/>
        <v>0</v>
      </c>
      <c r="I23" s="114">
        <f t="shared" si="9"/>
        <v>-0.5</v>
      </c>
      <c r="J23" s="115">
        <f t="shared" si="10"/>
        <v>-0.5</v>
      </c>
      <c r="K23" s="114">
        <f t="shared" si="11"/>
        <v>0.04166666667</v>
      </c>
      <c r="L23" s="116">
        <f t="shared" si="6"/>
        <v>11</v>
      </c>
      <c r="M23" s="116">
        <f t="shared" si="7"/>
        <v>1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22.5" customHeight="1">
      <c r="A24" s="117">
        <v>46089.0</v>
      </c>
      <c r="B24" s="118">
        <v>2.0</v>
      </c>
      <c r="C24" s="111" t="str">
        <f>VLOOKUP(B24,Employees!A:B,2,FALSE)</f>
        <v>Umesh Kumar</v>
      </c>
      <c r="D24" s="119">
        <v>0.3333333333333333</v>
      </c>
      <c r="E24" s="120">
        <v>0.5416666666666666</v>
      </c>
      <c r="F24" s="121">
        <v>0.5833333333333334</v>
      </c>
      <c r="G24" s="121">
        <v>0.8333333333333334</v>
      </c>
      <c r="H24" s="114">
        <f t="shared" si="8"/>
        <v>0.04166666667</v>
      </c>
      <c r="I24" s="114">
        <f t="shared" si="9"/>
        <v>0.5</v>
      </c>
      <c r="J24" s="115">
        <f t="shared" si="10"/>
        <v>0.4583333333</v>
      </c>
      <c r="K24" s="114">
        <f t="shared" si="11"/>
        <v>0</v>
      </c>
      <c r="L24" s="116">
        <f t="shared" si="6"/>
        <v>11</v>
      </c>
      <c r="M24" s="116">
        <f t="shared" si="7"/>
        <v>0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22.5" customHeight="1">
      <c r="A25" s="117"/>
      <c r="B25" s="118">
        <v>1.0</v>
      </c>
      <c r="C25" s="111" t="str">
        <f>VLOOKUP(B25,Employees!A:B,2,FALSE)</f>
        <v>Rajat Hela</v>
      </c>
      <c r="D25" s="121">
        <v>0.8333333333333334</v>
      </c>
      <c r="E25" s="120"/>
      <c r="F25" s="121"/>
      <c r="G25" s="121">
        <v>0.3333333333333333</v>
      </c>
      <c r="H25" s="114">
        <f t="shared" si="8"/>
        <v>0</v>
      </c>
      <c r="I25" s="114">
        <f t="shared" si="9"/>
        <v>-0.5</v>
      </c>
      <c r="J25" s="115">
        <f t="shared" si="10"/>
        <v>-0.5</v>
      </c>
      <c r="K25" s="114">
        <f t="shared" si="11"/>
        <v>0.04166666667</v>
      </c>
      <c r="L25" s="116">
        <f t="shared" si="6"/>
        <v>11</v>
      </c>
      <c r="M25" s="116">
        <f t="shared" si="7"/>
        <v>1</v>
      </c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22.5" customHeight="1">
      <c r="A26" s="117">
        <v>46090.0</v>
      </c>
      <c r="B26" s="118">
        <v>2.0</v>
      </c>
      <c r="C26" s="111" t="str">
        <f>VLOOKUP(B26,Employees!A:B,2,FALSE)</f>
        <v>Umesh Kumar</v>
      </c>
      <c r="D26" s="119">
        <v>0.3333333333333333</v>
      </c>
      <c r="E26" s="120">
        <v>0.5729166666666666</v>
      </c>
      <c r="F26" s="121">
        <v>0.6145833333333334</v>
      </c>
      <c r="G26" s="121">
        <v>0.8333333333333334</v>
      </c>
      <c r="H26" s="114">
        <f t="shared" si="8"/>
        <v>0.04166666667</v>
      </c>
      <c r="I26" s="114">
        <f t="shared" si="9"/>
        <v>0.5</v>
      </c>
      <c r="J26" s="115">
        <f t="shared" si="10"/>
        <v>0.4583333333</v>
      </c>
      <c r="K26" s="114">
        <f t="shared" si="11"/>
        <v>0</v>
      </c>
      <c r="L26" s="116">
        <f t="shared" si="6"/>
        <v>11</v>
      </c>
      <c r="M26" s="116">
        <f t="shared" si="7"/>
        <v>0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22.5" customHeight="1">
      <c r="A27" s="117"/>
      <c r="B27" s="118">
        <v>1.0</v>
      </c>
      <c r="C27" s="111" t="str">
        <f>VLOOKUP(B27,Employees!A:B,2,FALSE)</f>
        <v>Rajat Hela</v>
      </c>
      <c r="D27" s="121">
        <v>0.8333333333333334</v>
      </c>
      <c r="E27" s="120"/>
      <c r="F27" s="121"/>
      <c r="G27" s="121">
        <v>0.3333333333333333</v>
      </c>
      <c r="H27" s="114">
        <f t="shared" si="8"/>
        <v>0</v>
      </c>
      <c r="I27" s="114">
        <f t="shared" si="9"/>
        <v>-0.5</v>
      </c>
      <c r="J27" s="115">
        <f t="shared" si="10"/>
        <v>-0.5</v>
      </c>
      <c r="K27" s="114">
        <f t="shared" si="11"/>
        <v>0.04166666667</v>
      </c>
      <c r="L27" s="116">
        <f t="shared" si="6"/>
        <v>11</v>
      </c>
      <c r="M27" s="116">
        <f t="shared" si="7"/>
        <v>1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22.5" customHeight="1">
      <c r="A28" s="117">
        <v>46091.0</v>
      </c>
      <c r="B28" s="118">
        <v>2.0</v>
      </c>
      <c r="C28" s="111" t="str">
        <f>VLOOKUP(B28,Employees!A:B,2,FALSE)</f>
        <v>Umesh Kumar</v>
      </c>
      <c r="D28" s="119">
        <v>0.3333333333333333</v>
      </c>
      <c r="E28" s="120">
        <v>0.5416666666666666</v>
      </c>
      <c r="F28" s="121">
        <v>0.5833333333333334</v>
      </c>
      <c r="G28" s="121">
        <v>0.8333333333333334</v>
      </c>
      <c r="H28" s="114">
        <f t="shared" si="8"/>
        <v>0.04166666667</v>
      </c>
      <c r="I28" s="122">
        <v>0.5</v>
      </c>
      <c r="J28" s="115">
        <f t="shared" si="10"/>
        <v>0.4583333333</v>
      </c>
      <c r="K28" s="114">
        <f t="shared" si="11"/>
        <v>0</v>
      </c>
      <c r="L28" s="116">
        <f t="shared" si="6"/>
        <v>11</v>
      </c>
      <c r="M28" s="116">
        <f t="shared" si="7"/>
        <v>0</v>
      </c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22.5" customHeight="1">
      <c r="A29" s="117"/>
      <c r="B29" s="118">
        <v>1.0</v>
      </c>
      <c r="C29" s="111" t="str">
        <f>VLOOKUP(B29,Employees!A:B,2,FALSE)</f>
        <v>Rajat Hela</v>
      </c>
      <c r="D29" s="121">
        <v>0.8333333333333334</v>
      </c>
      <c r="E29" s="120"/>
      <c r="F29" s="121"/>
      <c r="G29" s="121">
        <v>0.3333333333333333</v>
      </c>
      <c r="H29" s="114">
        <f t="shared" si="8"/>
        <v>0</v>
      </c>
      <c r="I29" s="114">
        <f>G29 - D29</f>
        <v>-0.5</v>
      </c>
      <c r="J29" s="115">
        <f t="shared" si="10"/>
        <v>-0.5</v>
      </c>
      <c r="K29" s="114">
        <f t="shared" si="11"/>
        <v>0.04166666667</v>
      </c>
      <c r="L29" s="116">
        <f t="shared" si="6"/>
        <v>11</v>
      </c>
      <c r="M29" s="116">
        <f t="shared" si="7"/>
        <v>1</v>
      </c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22.5" customHeight="1">
      <c r="A30" s="117">
        <v>46092.0</v>
      </c>
      <c r="B30" s="118"/>
      <c r="C30" s="111"/>
      <c r="D30" s="119"/>
      <c r="E30" s="120"/>
      <c r="F30" s="121"/>
      <c r="G30" s="118" t="s">
        <v>48</v>
      </c>
      <c r="H30" s="114"/>
      <c r="I30" s="114"/>
      <c r="J30" s="115"/>
      <c r="K30" s="114"/>
      <c r="L30" s="116" t="str">
        <f t="shared" si="6"/>
        <v/>
      </c>
      <c r="M30" s="116" t="str">
        <f t="shared" si="7"/>
        <v/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22.5" customHeight="1">
      <c r="A31" s="117">
        <v>46093.0</v>
      </c>
      <c r="B31" s="118">
        <v>1.0</v>
      </c>
      <c r="C31" s="111" t="str">
        <f>VLOOKUP(B31,Employees!A:B,2,FALSE)</f>
        <v>Rajat Hela</v>
      </c>
      <c r="D31" s="119">
        <v>0.3333333333333333</v>
      </c>
      <c r="E31" s="120">
        <v>0.5416666666666666</v>
      </c>
      <c r="F31" s="121">
        <v>0.5833333333333334</v>
      </c>
      <c r="G31" s="121">
        <v>0.8333333333333334</v>
      </c>
      <c r="H31" s="114">
        <f t="shared" ref="H31:H42" si="12">F31 - E31</f>
        <v>0.04166666667</v>
      </c>
      <c r="I31" s="114">
        <f t="shared" ref="I31:I42" si="13">G31 - D31</f>
        <v>0.5</v>
      </c>
      <c r="J31" s="115">
        <f t="shared" ref="J31:J42" si="14">I31 - H31</f>
        <v>0.4583333333</v>
      </c>
      <c r="K31" s="114">
        <f t="shared" ref="K31:K42" si="15">MAX(
  0,
  MOD(
    IFERROR(
      J31,
      TIMEVALUE(SUBSTITUTE(J31,CHAR(160),""))
    ),
    1
  ) - TIME(11,0,0)
)
</f>
        <v>0</v>
      </c>
      <c r="L31" s="116">
        <f t="shared" si="6"/>
        <v>11</v>
      </c>
      <c r="M31" s="116">
        <f t="shared" si="7"/>
        <v>0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22.5" customHeight="1">
      <c r="A32" s="117"/>
      <c r="B32" s="118">
        <v>2.0</v>
      </c>
      <c r="C32" s="111" t="str">
        <f>VLOOKUP(B32,Employees!A:B,2,FALSE)</f>
        <v>Umesh Kumar</v>
      </c>
      <c r="D32" s="121">
        <v>0.8333333333333334</v>
      </c>
      <c r="E32" s="120"/>
      <c r="F32" s="121"/>
      <c r="G32" s="121">
        <v>0.3125</v>
      </c>
      <c r="H32" s="114">
        <f t="shared" si="12"/>
        <v>0</v>
      </c>
      <c r="I32" s="114">
        <f t="shared" si="13"/>
        <v>-0.5208333333</v>
      </c>
      <c r="J32" s="115">
        <f t="shared" si="14"/>
        <v>-0.5208333333</v>
      </c>
      <c r="K32" s="114">
        <f t="shared" si="15"/>
        <v>0.02083333333</v>
      </c>
      <c r="L32" s="116">
        <f t="shared" si="6"/>
        <v>11</v>
      </c>
      <c r="M32" s="116">
        <f t="shared" si="7"/>
        <v>0.3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22.5" customHeight="1">
      <c r="A33" s="117">
        <v>46094.0</v>
      </c>
      <c r="B33" s="118">
        <v>1.0</v>
      </c>
      <c r="C33" s="111" t="str">
        <f>VLOOKUP(B33,Employees!A:B,2,FALSE)</f>
        <v>Rajat Hela</v>
      </c>
      <c r="D33" s="119">
        <v>0.3333333333333333</v>
      </c>
      <c r="E33" s="120">
        <v>0.5416666666666666</v>
      </c>
      <c r="F33" s="121">
        <v>0.5833333333333334</v>
      </c>
      <c r="G33" s="121">
        <v>0.7708333333333334</v>
      </c>
      <c r="H33" s="114">
        <f t="shared" si="12"/>
        <v>0.04166666667</v>
      </c>
      <c r="I33" s="114">
        <f t="shared" si="13"/>
        <v>0.4375</v>
      </c>
      <c r="J33" s="115">
        <f t="shared" si="14"/>
        <v>0.3958333333</v>
      </c>
      <c r="K33" s="114">
        <f t="shared" si="15"/>
        <v>0</v>
      </c>
      <c r="L33" s="116">
        <f t="shared" si="6"/>
        <v>9.3</v>
      </c>
      <c r="M33" s="116">
        <f t="shared" si="7"/>
        <v>0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22.5" customHeight="1">
      <c r="A34" s="117"/>
      <c r="B34" s="118">
        <v>2.0</v>
      </c>
      <c r="C34" s="111" t="str">
        <f>VLOOKUP(B34,Employees!A:B,2,FALSE)</f>
        <v>Umesh Kumar</v>
      </c>
      <c r="D34" s="121">
        <v>0.7708333333333334</v>
      </c>
      <c r="E34" s="120"/>
      <c r="F34" s="121"/>
      <c r="G34" s="121">
        <v>0.3333333333333333</v>
      </c>
      <c r="H34" s="114">
        <f t="shared" si="12"/>
        <v>0</v>
      </c>
      <c r="I34" s="114">
        <f t="shared" si="13"/>
        <v>-0.4375</v>
      </c>
      <c r="J34" s="115">
        <f t="shared" si="14"/>
        <v>-0.4375</v>
      </c>
      <c r="K34" s="114">
        <f t="shared" si="15"/>
        <v>0.1041666667</v>
      </c>
      <c r="L34" s="116">
        <f t="shared" si="6"/>
        <v>11</v>
      </c>
      <c r="M34" s="116">
        <f t="shared" si="7"/>
        <v>2.3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22.5" customHeight="1">
      <c r="A35" s="117">
        <v>46095.0</v>
      </c>
      <c r="B35" s="118">
        <v>1.0</v>
      </c>
      <c r="C35" s="111" t="str">
        <f>VLOOKUP(B35,Employees!A:B,2,FALSE)</f>
        <v>Rajat Hela</v>
      </c>
      <c r="D35" s="119">
        <v>0.3333333333333333</v>
      </c>
      <c r="E35" s="120">
        <v>0.5416666666666666</v>
      </c>
      <c r="F35" s="121">
        <v>0.5833333333333334</v>
      </c>
      <c r="G35" s="121">
        <v>0.8333333333333334</v>
      </c>
      <c r="H35" s="114">
        <f t="shared" si="12"/>
        <v>0.04166666667</v>
      </c>
      <c r="I35" s="114">
        <f t="shared" si="13"/>
        <v>0.5</v>
      </c>
      <c r="J35" s="115">
        <f t="shared" si="14"/>
        <v>0.4583333333</v>
      </c>
      <c r="K35" s="114">
        <f t="shared" si="15"/>
        <v>0</v>
      </c>
      <c r="L35" s="116">
        <f t="shared" si="6"/>
        <v>11</v>
      </c>
      <c r="M35" s="116">
        <f t="shared" si="7"/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22.5" customHeight="1">
      <c r="A36" s="117"/>
      <c r="B36" s="118">
        <v>2.0</v>
      </c>
      <c r="C36" s="111" t="str">
        <f>VLOOKUP(B36,Employees!A:B,2,FALSE)</f>
        <v>Umesh Kumar</v>
      </c>
      <c r="D36" s="121">
        <v>0.8333333333333334</v>
      </c>
      <c r="E36" s="120"/>
      <c r="F36" s="121"/>
      <c r="G36" s="121">
        <v>0.20833333333333334</v>
      </c>
      <c r="H36" s="114">
        <f t="shared" si="12"/>
        <v>0</v>
      </c>
      <c r="I36" s="114">
        <f t="shared" si="13"/>
        <v>-0.625</v>
      </c>
      <c r="J36" s="115">
        <f t="shared" si="14"/>
        <v>-0.625</v>
      </c>
      <c r="K36" s="114">
        <f t="shared" si="15"/>
        <v>0</v>
      </c>
      <c r="L36" s="116">
        <f t="shared" si="6"/>
        <v>9</v>
      </c>
      <c r="M36" s="116">
        <f t="shared" si="7"/>
        <v>0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22.5" customHeight="1">
      <c r="A37" s="117">
        <v>46096.0</v>
      </c>
      <c r="B37" s="118">
        <v>1.0</v>
      </c>
      <c r="C37" s="111" t="str">
        <f>VLOOKUP(B37,Employees!A:B,2,FALSE)</f>
        <v>Rajat Hela</v>
      </c>
      <c r="D37" s="119">
        <v>0.3333333333333333</v>
      </c>
      <c r="E37" s="120">
        <v>0.5416666666666666</v>
      </c>
      <c r="F37" s="121">
        <v>0.5833333333333334</v>
      </c>
      <c r="G37" s="121">
        <v>0.8333333333333334</v>
      </c>
      <c r="H37" s="114">
        <f t="shared" si="12"/>
        <v>0.04166666667</v>
      </c>
      <c r="I37" s="114">
        <f t="shared" si="13"/>
        <v>0.5</v>
      </c>
      <c r="J37" s="115">
        <f t="shared" si="14"/>
        <v>0.4583333333</v>
      </c>
      <c r="K37" s="114">
        <f t="shared" si="15"/>
        <v>0</v>
      </c>
      <c r="L37" s="116">
        <f t="shared" si="6"/>
        <v>11</v>
      </c>
      <c r="M37" s="116">
        <f t="shared" si="7"/>
        <v>0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22.5" customHeight="1">
      <c r="A38" s="117"/>
      <c r="B38" s="118">
        <v>2.0</v>
      </c>
      <c r="C38" s="111" t="str">
        <f>VLOOKUP(B38,Employees!A:B,2,FALSE)</f>
        <v>Umesh Kumar</v>
      </c>
      <c r="D38" s="121">
        <v>0.8333333333333334</v>
      </c>
      <c r="E38" s="120"/>
      <c r="F38" s="121"/>
      <c r="G38" s="121">
        <v>0.3333333333333333</v>
      </c>
      <c r="H38" s="114">
        <f t="shared" si="12"/>
        <v>0</v>
      </c>
      <c r="I38" s="114">
        <f t="shared" si="13"/>
        <v>-0.5</v>
      </c>
      <c r="J38" s="115">
        <f t="shared" si="14"/>
        <v>-0.5</v>
      </c>
      <c r="K38" s="114">
        <f t="shared" si="15"/>
        <v>0.04166666667</v>
      </c>
      <c r="L38" s="116">
        <f t="shared" si="6"/>
        <v>11</v>
      </c>
      <c r="M38" s="116">
        <f t="shared" si="7"/>
        <v>1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117">
        <v>46097.0</v>
      </c>
      <c r="B39" s="118">
        <v>1.0</v>
      </c>
      <c r="C39" s="111" t="str">
        <f>VLOOKUP(B39,Employees!A:B,2,FALSE)</f>
        <v>Rajat Hela</v>
      </c>
      <c r="D39" s="119">
        <v>0.3333333333333333</v>
      </c>
      <c r="E39" s="120">
        <v>0.5416666666666666</v>
      </c>
      <c r="F39" s="121">
        <v>0.5833333333333334</v>
      </c>
      <c r="G39" s="121">
        <v>0.8333333333333334</v>
      </c>
      <c r="H39" s="114">
        <f t="shared" si="12"/>
        <v>0.04166666667</v>
      </c>
      <c r="I39" s="114">
        <f t="shared" si="13"/>
        <v>0.5</v>
      </c>
      <c r="J39" s="115">
        <f t="shared" si="14"/>
        <v>0.4583333333</v>
      </c>
      <c r="K39" s="114">
        <f t="shared" si="15"/>
        <v>0</v>
      </c>
      <c r="L39" s="116">
        <f t="shared" si="6"/>
        <v>11</v>
      </c>
      <c r="M39" s="116">
        <f t="shared" si="7"/>
        <v>0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117"/>
      <c r="B40" s="118">
        <v>2.0</v>
      </c>
      <c r="C40" s="111" t="str">
        <f>VLOOKUP(B40,Employees!A:B,2,FALSE)</f>
        <v>Umesh Kumar</v>
      </c>
      <c r="D40" s="121">
        <v>0.8333333333333334</v>
      </c>
      <c r="E40" s="120"/>
      <c r="F40" s="121"/>
      <c r="G40" s="121">
        <v>0.3333333333333333</v>
      </c>
      <c r="H40" s="114">
        <f t="shared" si="12"/>
        <v>0</v>
      </c>
      <c r="I40" s="114">
        <f t="shared" si="13"/>
        <v>-0.5</v>
      </c>
      <c r="J40" s="115">
        <f t="shared" si="14"/>
        <v>-0.5</v>
      </c>
      <c r="K40" s="114">
        <f t="shared" si="15"/>
        <v>0.04166666667</v>
      </c>
      <c r="L40" s="116">
        <f t="shared" si="6"/>
        <v>11</v>
      </c>
      <c r="M40" s="116">
        <f t="shared" si="7"/>
        <v>1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117">
        <v>46098.0</v>
      </c>
      <c r="B41" s="118">
        <v>1.0</v>
      </c>
      <c r="C41" s="111" t="str">
        <f>VLOOKUP(B41,Employees!A:B,2,FALSE)</f>
        <v>Rajat Hela</v>
      </c>
      <c r="D41" s="119">
        <v>0.3333333333333333</v>
      </c>
      <c r="E41" s="120">
        <v>0.5520833333333334</v>
      </c>
      <c r="F41" s="121">
        <v>0.59375</v>
      </c>
      <c r="G41" s="121">
        <v>0.8333333333333334</v>
      </c>
      <c r="H41" s="114">
        <f t="shared" si="12"/>
        <v>0.04166666667</v>
      </c>
      <c r="I41" s="114">
        <f t="shared" si="13"/>
        <v>0.5</v>
      </c>
      <c r="J41" s="115">
        <f t="shared" si="14"/>
        <v>0.4583333333</v>
      </c>
      <c r="K41" s="114">
        <f t="shared" si="15"/>
        <v>0</v>
      </c>
      <c r="L41" s="116">
        <f t="shared" si="6"/>
        <v>11</v>
      </c>
      <c r="M41" s="116">
        <f t="shared" si="7"/>
        <v>0</v>
      </c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117"/>
      <c r="B42" s="118">
        <v>2.0</v>
      </c>
      <c r="C42" s="111" t="str">
        <f>VLOOKUP(B42,Employees!A:B,2,FALSE)</f>
        <v>Umesh Kumar</v>
      </c>
      <c r="D42" s="121">
        <v>0.8333333333333334</v>
      </c>
      <c r="E42" s="120"/>
      <c r="F42" s="121"/>
      <c r="G42" s="121">
        <v>0.3541666666666667</v>
      </c>
      <c r="H42" s="114">
        <f t="shared" si="12"/>
        <v>0</v>
      </c>
      <c r="I42" s="114">
        <f t="shared" si="13"/>
        <v>-0.4791666667</v>
      </c>
      <c r="J42" s="115">
        <f t="shared" si="14"/>
        <v>-0.4791666667</v>
      </c>
      <c r="K42" s="114">
        <f t="shared" si="15"/>
        <v>0.0625</v>
      </c>
      <c r="L42" s="116">
        <f t="shared" si="6"/>
        <v>11</v>
      </c>
      <c r="M42" s="116">
        <f t="shared" si="7"/>
        <v>1.3</v>
      </c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117">
        <v>46099.0</v>
      </c>
      <c r="B43" s="118"/>
      <c r="C43" s="111"/>
      <c r="D43" s="119"/>
      <c r="E43" s="120"/>
      <c r="F43" s="121"/>
      <c r="G43" s="118" t="s">
        <v>48</v>
      </c>
      <c r="H43" s="114"/>
      <c r="I43" s="114"/>
      <c r="J43" s="115"/>
      <c r="K43" s="114"/>
      <c r="L43" s="116" t="str">
        <f t="shared" si="6"/>
        <v/>
      </c>
      <c r="M43" s="116" t="str">
        <f t="shared" si="7"/>
        <v/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117">
        <v>46100.0</v>
      </c>
      <c r="B44" s="118">
        <v>2.0</v>
      </c>
      <c r="C44" s="111" t="str">
        <f>VLOOKUP(B44,Employees!A:B,2,FALSE)</f>
        <v>Umesh Kumar</v>
      </c>
      <c r="D44" s="119">
        <v>0.3333333333333333</v>
      </c>
      <c r="E44" s="120">
        <v>0.5416666666666666</v>
      </c>
      <c r="F44" s="121">
        <v>0.5833333333333334</v>
      </c>
      <c r="G44" s="121">
        <v>0.8333333333333334</v>
      </c>
      <c r="H44" s="114">
        <f t="shared" ref="H44:H68" si="16">F44 - E44</f>
        <v>0.04166666667</v>
      </c>
      <c r="I44" s="114">
        <f t="shared" ref="I44:I68" si="17">G44 - D44</f>
        <v>0.5</v>
      </c>
      <c r="J44" s="115">
        <f t="shared" ref="J44:J59" si="18">I44 - H44</f>
        <v>0.4583333333</v>
      </c>
      <c r="K44" s="114">
        <f t="shared" ref="K44:K68" si="19">MAX(
  0,
  MOD(
    IFERROR(
      J44,
      TIMEVALUE(SUBSTITUTE(J44,CHAR(160),""))
    ),
    1
  ) - TIME(11,0,0)
)
</f>
        <v>0</v>
      </c>
      <c r="L44" s="116">
        <f t="shared" si="6"/>
        <v>11</v>
      </c>
      <c r="M44" s="116">
        <f t="shared" si="7"/>
        <v>0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117"/>
      <c r="B45" s="118">
        <v>1.0</v>
      </c>
      <c r="C45" s="111" t="str">
        <f>VLOOKUP(B45,Employees!A:B,2,FALSE)</f>
        <v>Rajat Hela</v>
      </c>
      <c r="D45" s="121">
        <v>0.8333333333333334</v>
      </c>
      <c r="E45" s="120"/>
      <c r="F45" s="121"/>
      <c r="G45" s="121">
        <v>0.3333333333333333</v>
      </c>
      <c r="H45" s="114">
        <f t="shared" si="16"/>
        <v>0</v>
      </c>
      <c r="I45" s="114">
        <f t="shared" si="17"/>
        <v>-0.5</v>
      </c>
      <c r="J45" s="115">
        <f t="shared" si="18"/>
        <v>-0.5</v>
      </c>
      <c r="K45" s="114">
        <f t="shared" si="19"/>
        <v>0.04166666667</v>
      </c>
      <c r="L45" s="116">
        <f t="shared" si="6"/>
        <v>11</v>
      </c>
      <c r="M45" s="116">
        <f t="shared" si="7"/>
        <v>1</v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117">
        <v>46101.0</v>
      </c>
      <c r="B46" s="118">
        <v>2.0</v>
      </c>
      <c r="C46" s="111" t="str">
        <f>VLOOKUP(B46,Employees!A:B,2,FALSE)</f>
        <v>Umesh Kumar</v>
      </c>
      <c r="D46" s="119">
        <v>0.3333333333333333</v>
      </c>
      <c r="E46" s="120">
        <v>0.5416666666666666</v>
      </c>
      <c r="F46" s="121">
        <v>0.5833333333333334</v>
      </c>
      <c r="G46" s="121">
        <v>0.8333333333333334</v>
      </c>
      <c r="H46" s="114">
        <f t="shared" si="16"/>
        <v>0.04166666667</v>
      </c>
      <c r="I46" s="114">
        <f t="shared" si="17"/>
        <v>0.5</v>
      </c>
      <c r="J46" s="115">
        <f t="shared" si="18"/>
        <v>0.4583333333</v>
      </c>
      <c r="K46" s="114">
        <f t="shared" si="19"/>
        <v>0</v>
      </c>
      <c r="L46" s="116">
        <f t="shared" si="6"/>
        <v>11</v>
      </c>
      <c r="M46" s="116">
        <f t="shared" si="7"/>
        <v>0</v>
      </c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117"/>
      <c r="B47" s="118">
        <v>1.0</v>
      </c>
      <c r="C47" s="111" t="str">
        <f>VLOOKUP(B47,Employees!A:B,2,FALSE)</f>
        <v>Rajat Hela</v>
      </c>
      <c r="D47" s="121">
        <v>0.8333333333333334</v>
      </c>
      <c r="E47" s="120"/>
      <c r="F47" s="121"/>
      <c r="G47" s="121">
        <v>1.0</v>
      </c>
      <c r="H47" s="114">
        <f t="shared" si="16"/>
        <v>0</v>
      </c>
      <c r="I47" s="114">
        <f t="shared" si="17"/>
        <v>0.1666666667</v>
      </c>
      <c r="J47" s="115">
        <f t="shared" si="18"/>
        <v>0.1666666667</v>
      </c>
      <c r="K47" s="114">
        <f t="shared" si="19"/>
        <v>0</v>
      </c>
      <c r="L47" s="116">
        <f t="shared" si="6"/>
        <v>4</v>
      </c>
      <c r="M47" s="116">
        <f t="shared" si="7"/>
        <v>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117">
        <v>46102.0</v>
      </c>
      <c r="B48" s="118">
        <v>2.0</v>
      </c>
      <c r="C48" s="111" t="str">
        <f>VLOOKUP(B48,Employees!A:B,2,FALSE)</f>
        <v>Umesh Kumar</v>
      </c>
      <c r="D48" s="119">
        <v>0.3333333333333333</v>
      </c>
      <c r="E48" s="120">
        <v>0.5</v>
      </c>
      <c r="F48" s="121">
        <v>0.5416666666666666</v>
      </c>
      <c r="G48" s="121">
        <v>0.8333333333333334</v>
      </c>
      <c r="H48" s="114">
        <f t="shared" si="16"/>
        <v>0.04166666667</v>
      </c>
      <c r="I48" s="114">
        <f t="shared" si="17"/>
        <v>0.5</v>
      </c>
      <c r="J48" s="115">
        <f t="shared" si="18"/>
        <v>0.4583333333</v>
      </c>
      <c r="K48" s="114">
        <f t="shared" si="19"/>
        <v>0</v>
      </c>
      <c r="L48" s="116">
        <f t="shared" si="6"/>
        <v>11</v>
      </c>
      <c r="M48" s="116">
        <f t="shared" si="7"/>
        <v>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117"/>
      <c r="B49" s="118">
        <v>1.0</v>
      </c>
      <c r="C49" s="111" t="str">
        <f>VLOOKUP(B49,Employees!A:B,2,FALSE)</f>
        <v>Rajat Hela</v>
      </c>
      <c r="D49" s="121">
        <v>0.8333333333333334</v>
      </c>
      <c r="E49" s="120"/>
      <c r="F49" s="121"/>
      <c r="G49" s="121">
        <v>0.3333333333333333</v>
      </c>
      <c r="H49" s="114">
        <f t="shared" si="16"/>
        <v>0</v>
      </c>
      <c r="I49" s="114">
        <f t="shared" si="17"/>
        <v>-0.5</v>
      </c>
      <c r="J49" s="115">
        <f t="shared" si="18"/>
        <v>-0.5</v>
      </c>
      <c r="K49" s="114">
        <f t="shared" si="19"/>
        <v>0.04166666667</v>
      </c>
      <c r="L49" s="116">
        <f t="shared" si="6"/>
        <v>11</v>
      </c>
      <c r="M49" s="116">
        <f t="shared" si="7"/>
        <v>1</v>
      </c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117">
        <v>46103.0</v>
      </c>
      <c r="B50" s="118">
        <v>2.0</v>
      </c>
      <c r="C50" s="111" t="str">
        <f>VLOOKUP(B50,Employees!A:B,2,FALSE)</f>
        <v>Umesh Kumar</v>
      </c>
      <c r="D50" s="119">
        <v>0.3333333333333333</v>
      </c>
      <c r="E50" s="120"/>
      <c r="F50" s="121"/>
      <c r="G50" s="121">
        <v>0.5</v>
      </c>
      <c r="H50" s="114">
        <f t="shared" si="16"/>
        <v>0</v>
      </c>
      <c r="I50" s="114">
        <f t="shared" si="17"/>
        <v>0.1666666667</v>
      </c>
      <c r="J50" s="115">
        <f t="shared" si="18"/>
        <v>0.1666666667</v>
      </c>
      <c r="K50" s="114">
        <f t="shared" si="19"/>
        <v>0</v>
      </c>
      <c r="L50" s="116">
        <f t="shared" si="6"/>
        <v>4</v>
      </c>
      <c r="M50" s="116">
        <f t="shared" si="7"/>
        <v>0</v>
      </c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117"/>
      <c r="B51" s="118">
        <v>1.0</v>
      </c>
      <c r="C51" s="111" t="str">
        <f>VLOOKUP(B51,Employees!A:B,2,FALSE)</f>
        <v>Rajat Hela</v>
      </c>
      <c r="D51" s="121">
        <v>0.6041666666666666</v>
      </c>
      <c r="E51" s="120"/>
      <c r="F51" s="121"/>
      <c r="G51" s="121">
        <v>0.10416666666666667</v>
      </c>
      <c r="H51" s="114">
        <f t="shared" si="16"/>
        <v>0</v>
      </c>
      <c r="I51" s="114">
        <f t="shared" si="17"/>
        <v>-0.5</v>
      </c>
      <c r="J51" s="115">
        <f t="shared" si="18"/>
        <v>-0.5</v>
      </c>
      <c r="K51" s="114">
        <f t="shared" si="19"/>
        <v>0.04166666667</v>
      </c>
      <c r="L51" s="116">
        <f t="shared" si="6"/>
        <v>11</v>
      </c>
      <c r="M51" s="116">
        <f t="shared" si="7"/>
        <v>1</v>
      </c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117">
        <v>46104.0</v>
      </c>
      <c r="B52" s="118">
        <v>2.0</v>
      </c>
      <c r="C52" s="111" t="str">
        <f>VLOOKUP(B52,Employees!A:B,2,FALSE)</f>
        <v>Umesh Kumar</v>
      </c>
      <c r="D52" s="119">
        <v>0.3333333333333333</v>
      </c>
      <c r="E52" s="120">
        <v>0.5486111111111112</v>
      </c>
      <c r="F52" s="121">
        <v>0.5902777777777778</v>
      </c>
      <c r="G52" s="121">
        <v>0.8333333333333334</v>
      </c>
      <c r="H52" s="114">
        <f t="shared" si="16"/>
        <v>0.04166666667</v>
      </c>
      <c r="I52" s="114">
        <f t="shared" si="17"/>
        <v>0.5</v>
      </c>
      <c r="J52" s="115">
        <f t="shared" si="18"/>
        <v>0.4583333333</v>
      </c>
      <c r="K52" s="114">
        <f t="shared" si="19"/>
        <v>0</v>
      </c>
      <c r="L52" s="116">
        <f t="shared" si="6"/>
        <v>11</v>
      </c>
      <c r="M52" s="116">
        <f t="shared" si="7"/>
        <v>0</v>
      </c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117"/>
      <c r="B53" s="118">
        <v>1.0</v>
      </c>
      <c r="C53" s="111" t="str">
        <f>VLOOKUP(B53,Employees!A:B,2,FALSE)</f>
        <v>Rajat Hela</v>
      </c>
      <c r="D53" s="121">
        <v>0.8333333333333334</v>
      </c>
      <c r="E53" s="120"/>
      <c r="F53" s="121"/>
      <c r="G53" s="121">
        <v>0.3333333333333333</v>
      </c>
      <c r="H53" s="114">
        <f t="shared" si="16"/>
        <v>0</v>
      </c>
      <c r="I53" s="114">
        <f t="shared" si="17"/>
        <v>-0.5</v>
      </c>
      <c r="J53" s="115">
        <f t="shared" si="18"/>
        <v>-0.5</v>
      </c>
      <c r="K53" s="114">
        <f t="shared" si="19"/>
        <v>0.04166666667</v>
      </c>
      <c r="L53" s="116">
        <f t="shared" si="6"/>
        <v>11</v>
      </c>
      <c r="M53" s="116">
        <f t="shared" si="7"/>
        <v>1</v>
      </c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117">
        <v>46105.0</v>
      </c>
      <c r="B54" s="118">
        <v>2.0</v>
      </c>
      <c r="C54" s="111" t="str">
        <f>VLOOKUP(B54,Employees!A:B,2,FALSE)</f>
        <v>Umesh Kumar</v>
      </c>
      <c r="D54" s="119">
        <v>0.3333333333333333</v>
      </c>
      <c r="E54" s="120">
        <v>0.5416666666666666</v>
      </c>
      <c r="F54" s="121">
        <v>0.5833333333333334</v>
      </c>
      <c r="G54" s="121">
        <v>0.8333333333333334</v>
      </c>
      <c r="H54" s="114">
        <f t="shared" si="16"/>
        <v>0.04166666667</v>
      </c>
      <c r="I54" s="114">
        <f t="shared" si="17"/>
        <v>0.5</v>
      </c>
      <c r="J54" s="115">
        <f t="shared" si="18"/>
        <v>0.4583333333</v>
      </c>
      <c r="K54" s="114">
        <f t="shared" si="19"/>
        <v>0</v>
      </c>
      <c r="L54" s="116">
        <f t="shared" si="6"/>
        <v>11</v>
      </c>
      <c r="M54" s="116">
        <f t="shared" si="7"/>
        <v>0</v>
      </c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117"/>
      <c r="B55" s="118">
        <v>1.0</v>
      </c>
      <c r="C55" s="111" t="str">
        <f>VLOOKUP(B55,Employees!A:B,2,FALSE)</f>
        <v>Rajat Hela</v>
      </c>
      <c r="D55" s="121">
        <v>0.8333333333333334</v>
      </c>
      <c r="E55" s="120"/>
      <c r="F55" s="121"/>
      <c r="G55" s="121">
        <v>0.3333333333333333</v>
      </c>
      <c r="H55" s="114">
        <f t="shared" si="16"/>
        <v>0</v>
      </c>
      <c r="I55" s="114">
        <f t="shared" si="17"/>
        <v>-0.5</v>
      </c>
      <c r="J55" s="115">
        <f t="shared" si="18"/>
        <v>-0.5</v>
      </c>
      <c r="K55" s="114">
        <f t="shared" si="19"/>
        <v>0.04166666667</v>
      </c>
      <c r="L55" s="116">
        <f t="shared" si="6"/>
        <v>11</v>
      </c>
      <c r="M55" s="116">
        <f t="shared" si="7"/>
        <v>1</v>
      </c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117">
        <v>46106.0</v>
      </c>
      <c r="B56" s="118">
        <v>2.0</v>
      </c>
      <c r="C56" s="111" t="str">
        <f>VLOOKUP(B56,Employees!A:B,2,FALSE)</f>
        <v>Umesh Kumar</v>
      </c>
      <c r="D56" s="119">
        <v>0.3333333333333333</v>
      </c>
      <c r="E56" s="120">
        <v>0.5416666666666666</v>
      </c>
      <c r="F56" s="121">
        <v>0.5833333333333334</v>
      </c>
      <c r="G56" s="121">
        <v>0.8333333333333334</v>
      </c>
      <c r="H56" s="114">
        <f t="shared" si="16"/>
        <v>0.04166666667</v>
      </c>
      <c r="I56" s="114">
        <f t="shared" si="17"/>
        <v>0.5</v>
      </c>
      <c r="J56" s="115">
        <f t="shared" si="18"/>
        <v>0.4583333333</v>
      </c>
      <c r="K56" s="114">
        <f t="shared" si="19"/>
        <v>0</v>
      </c>
      <c r="L56" s="116">
        <f t="shared" si="6"/>
        <v>11</v>
      </c>
      <c r="M56" s="116">
        <f t="shared" si="7"/>
        <v>0</v>
      </c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117">
        <v>46107.0</v>
      </c>
      <c r="B57" s="118">
        <v>2.0</v>
      </c>
      <c r="C57" s="111" t="str">
        <f>VLOOKUP(B57,Employees!A:B,2,FALSE)</f>
        <v>Umesh Kumar</v>
      </c>
      <c r="D57" s="119">
        <v>0.3333333333333333</v>
      </c>
      <c r="E57" s="120">
        <v>0.5416666666666666</v>
      </c>
      <c r="F57" s="121">
        <v>0.5833333333333334</v>
      </c>
      <c r="G57" s="121">
        <v>0.8333333333333334</v>
      </c>
      <c r="H57" s="114">
        <f t="shared" si="16"/>
        <v>0.04166666667</v>
      </c>
      <c r="I57" s="114">
        <f t="shared" si="17"/>
        <v>0.5</v>
      </c>
      <c r="J57" s="115">
        <f t="shared" si="18"/>
        <v>0.4583333333</v>
      </c>
      <c r="K57" s="114">
        <f t="shared" si="19"/>
        <v>0</v>
      </c>
      <c r="L57" s="116">
        <f t="shared" si="6"/>
        <v>11</v>
      </c>
      <c r="M57" s="116">
        <f t="shared" si="7"/>
        <v>0</v>
      </c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117"/>
      <c r="B58" s="118">
        <v>1.0</v>
      </c>
      <c r="C58" s="111" t="str">
        <f>VLOOKUP(B58,Employees!A:B,2,FALSE)</f>
        <v>Rajat Hela</v>
      </c>
      <c r="D58" s="121">
        <v>0.8333333333333334</v>
      </c>
      <c r="E58" s="120"/>
      <c r="F58" s="121"/>
      <c r="G58" s="121">
        <v>0.3333333333333333</v>
      </c>
      <c r="H58" s="114">
        <f t="shared" si="16"/>
        <v>0</v>
      </c>
      <c r="I58" s="114">
        <f t="shared" si="17"/>
        <v>-0.5</v>
      </c>
      <c r="J58" s="115">
        <f t="shared" si="18"/>
        <v>-0.5</v>
      </c>
      <c r="K58" s="114">
        <f t="shared" si="19"/>
        <v>0.04166666667</v>
      </c>
      <c r="L58" s="116">
        <f t="shared" si="6"/>
        <v>11</v>
      </c>
      <c r="M58" s="116">
        <f t="shared" si="7"/>
        <v>1</v>
      </c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117">
        <v>46108.0</v>
      </c>
      <c r="B59" s="118">
        <v>2.0</v>
      </c>
      <c r="C59" s="111" t="str">
        <f>VLOOKUP(B59,Employees!A:B,2,FALSE)</f>
        <v>Umesh Kumar</v>
      </c>
      <c r="D59" s="119">
        <v>0.3333333333333333</v>
      </c>
      <c r="E59" s="120">
        <v>0.5104166666666666</v>
      </c>
      <c r="F59" s="121">
        <v>0.5520833333333334</v>
      </c>
      <c r="G59" s="121">
        <v>0.8333333333333334</v>
      </c>
      <c r="H59" s="114">
        <f t="shared" si="16"/>
        <v>0.04166666667</v>
      </c>
      <c r="I59" s="114">
        <f t="shared" si="17"/>
        <v>0.5</v>
      </c>
      <c r="J59" s="115">
        <f t="shared" si="18"/>
        <v>0.4583333333</v>
      </c>
      <c r="K59" s="114">
        <f t="shared" si="19"/>
        <v>0</v>
      </c>
      <c r="L59" s="116">
        <f t="shared" si="6"/>
        <v>11</v>
      </c>
      <c r="M59" s="116">
        <f t="shared" si="7"/>
        <v>0</v>
      </c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117"/>
      <c r="B60" s="118">
        <v>1.0</v>
      </c>
      <c r="C60" s="111" t="str">
        <f>VLOOKUP(B60,Employees!A:B,2,FALSE)</f>
        <v>Rajat Hela</v>
      </c>
      <c r="D60" s="121">
        <v>0.8333333333333334</v>
      </c>
      <c r="E60" s="120"/>
      <c r="F60" s="121"/>
      <c r="G60" s="121">
        <v>0.375</v>
      </c>
      <c r="H60" s="114">
        <f t="shared" si="16"/>
        <v>0</v>
      </c>
      <c r="I60" s="114">
        <f t="shared" si="17"/>
        <v>-0.4583333333</v>
      </c>
      <c r="J60" s="123">
        <v>0.5416666666666666</v>
      </c>
      <c r="K60" s="114">
        <f t="shared" si="19"/>
        <v>0.08333333333</v>
      </c>
      <c r="L60" s="126">
        <f t="shared" si="6"/>
        <v>11</v>
      </c>
      <c r="M60" s="126">
        <f t="shared" si="7"/>
        <v>2</v>
      </c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117">
        <v>46109.0</v>
      </c>
      <c r="B61" s="118">
        <v>2.0</v>
      </c>
      <c r="C61" s="111" t="str">
        <f>VLOOKUP(B61,Employees!A:B,2,FALSE)</f>
        <v>Umesh Kumar</v>
      </c>
      <c r="D61" s="119">
        <v>0.3333333333333333</v>
      </c>
      <c r="E61" s="120"/>
      <c r="F61" s="121"/>
      <c r="G61" s="121">
        <v>0.5486111111111112</v>
      </c>
      <c r="H61" s="114">
        <f t="shared" si="16"/>
        <v>0</v>
      </c>
      <c r="I61" s="114">
        <f t="shared" si="17"/>
        <v>0.2152777778</v>
      </c>
      <c r="J61" s="115">
        <f t="shared" ref="J61:J68" si="20">I61 - H61</f>
        <v>0.2152777778</v>
      </c>
      <c r="K61" s="114">
        <f t="shared" si="19"/>
        <v>0</v>
      </c>
      <c r="L61" s="126">
        <f t="shared" si="6"/>
        <v>5.1</v>
      </c>
      <c r="M61" s="126">
        <f t="shared" si="7"/>
        <v>0</v>
      </c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117"/>
      <c r="B62" s="118">
        <v>1.0</v>
      </c>
      <c r="C62" s="111" t="str">
        <f>VLOOKUP(B62,Employees!A:B,2,FALSE)</f>
        <v>Rajat Hela</v>
      </c>
      <c r="D62" s="121">
        <v>0.7291666666666666</v>
      </c>
      <c r="E62" s="120"/>
      <c r="F62" s="121"/>
      <c r="G62" s="121">
        <v>0.3541666666666667</v>
      </c>
      <c r="H62" s="114">
        <f t="shared" si="16"/>
        <v>0</v>
      </c>
      <c r="I62" s="114">
        <f t="shared" si="17"/>
        <v>-0.375</v>
      </c>
      <c r="J62" s="115">
        <f t="shared" si="20"/>
        <v>-0.375</v>
      </c>
      <c r="K62" s="114">
        <f t="shared" si="19"/>
        <v>0.1666666667</v>
      </c>
      <c r="L62" s="126">
        <f t="shared" si="6"/>
        <v>11</v>
      </c>
      <c r="M62" s="126">
        <f t="shared" si="7"/>
        <v>4</v>
      </c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117">
        <v>46110.0</v>
      </c>
      <c r="B63" s="118">
        <v>1.0</v>
      </c>
      <c r="C63" s="111" t="str">
        <f>VLOOKUP(B63,Employees!A:B,2,FALSE)</f>
        <v>Rajat Hela</v>
      </c>
      <c r="D63" s="121">
        <v>0.8333333333333334</v>
      </c>
      <c r="E63" s="120"/>
      <c r="F63" s="121"/>
      <c r="G63" s="121">
        <v>0.08333333333333333</v>
      </c>
      <c r="H63" s="114">
        <f t="shared" si="16"/>
        <v>0</v>
      </c>
      <c r="I63" s="114">
        <f t="shared" si="17"/>
        <v>-0.75</v>
      </c>
      <c r="J63" s="115">
        <f t="shared" si="20"/>
        <v>-0.75</v>
      </c>
      <c r="K63" s="114">
        <f t="shared" si="19"/>
        <v>0</v>
      </c>
      <c r="L63" s="126">
        <f t="shared" si="6"/>
        <v>6</v>
      </c>
      <c r="M63" s="126">
        <f t="shared" si="7"/>
        <v>0</v>
      </c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117"/>
      <c r="B64" s="118"/>
      <c r="C64" s="111" t="str">
        <f>VLOOKUP(B64,Employees!A:B,2,FALSE)</f>
        <v>#N/A</v>
      </c>
      <c r="D64" s="121"/>
      <c r="E64" s="120"/>
      <c r="F64" s="121"/>
      <c r="G64" s="121"/>
      <c r="H64" s="114">
        <f t="shared" si="16"/>
        <v>0</v>
      </c>
      <c r="I64" s="114">
        <f t="shared" si="17"/>
        <v>0</v>
      </c>
      <c r="J64" s="115">
        <f t="shared" si="20"/>
        <v>0</v>
      </c>
      <c r="K64" s="114">
        <f t="shared" si="19"/>
        <v>0</v>
      </c>
      <c r="L64" s="126">
        <f t="shared" si="6"/>
        <v>0</v>
      </c>
      <c r="M64" s="126">
        <f t="shared" si="7"/>
        <v>0</v>
      </c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117">
        <v>46111.0</v>
      </c>
      <c r="B65" s="118">
        <v>1.0</v>
      </c>
      <c r="C65" s="111" t="str">
        <f>VLOOKUP(B65,Employees!A:B,2,FALSE)</f>
        <v>Rajat Hela</v>
      </c>
      <c r="D65" s="119">
        <v>0.5833333333333334</v>
      </c>
      <c r="E65" s="120"/>
      <c r="F65" s="118"/>
      <c r="G65" s="121">
        <v>0.041666666666666664</v>
      </c>
      <c r="H65" s="114">
        <f t="shared" si="16"/>
        <v>0</v>
      </c>
      <c r="I65" s="114">
        <f t="shared" si="17"/>
        <v>-0.5416666667</v>
      </c>
      <c r="J65" s="115">
        <f t="shared" si="20"/>
        <v>-0.5416666667</v>
      </c>
      <c r="K65" s="114">
        <f t="shared" si="19"/>
        <v>0</v>
      </c>
      <c r="L65" s="126">
        <f t="shared" si="6"/>
        <v>11</v>
      </c>
      <c r="M65" s="126">
        <f t="shared" si="7"/>
        <v>0</v>
      </c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117"/>
      <c r="B66" s="118"/>
      <c r="C66" s="111" t="str">
        <f>VLOOKUP(B66,Employees!A:B,2,FALSE)</f>
        <v>#N/A</v>
      </c>
      <c r="D66" s="121"/>
      <c r="E66" s="120"/>
      <c r="F66" s="121"/>
      <c r="G66" s="121"/>
      <c r="H66" s="114">
        <f t="shared" si="16"/>
        <v>0</v>
      </c>
      <c r="I66" s="114">
        <f t="shared" si="17"/>
        <v>0</v>
      </c>
      <c r="J66" s="115">
        <f t="shared" si="20"/>
        <v>0</v>
      </c>
      <c r="K66" s="114">
        <f t="shared" si="19"/>
        <v>0</v>
      </c>
      <c r="L66" s="126">
        <f t="shared" si="6"/>
        <v>0</v>
      </c>
      <c r="M66" s="126">
        <f t="shared" si="7"/>
        <v>0</v>
      </c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117">
        <v>46112.0</v>
      </c>
      <c r="B67" s="118">
        <v>1.0</v>
      </c>
      <c r="C67" s="111" t="str">
        <f>VLOOKUP(B67,Employees!A:B,2,FALSE)</f>
        <v>Rajat Hela</v>
      </c>
      <c r="D67" s="119">
        <v>0.3333333333333333</v>
      </c>
      <c r="E67" s="120">
        <v>0.5416666666666666</v>
      </c>
      <c r="F67" s="121">
        <v>0.5833333333333334</v>
      </c>
      <c r="G67" s="121">
        <v>0.8333333333333334</v>
      </c>
      <c r="H67" s="114">
        <f t="shared" si="16"/>
        <v>0.04166666667</v>
      </c>
      <c r="I67" s="114">
        <f t="shared" si="17"/>
        <v>0.5</v>
      </c>
      <c r="J67" s="115">
        <f t="shared" si="20"/>
        <v>0.4583333333</v>
      </c>
      <c r="K67" s="114">
        <f t="shared" si="19"/>
        <v>0</v>
      </c>
      <c r="L67" s="126">
        <f t="shared" si="6"/>
        <v>11</v>
      </c>
      <c r="M67" s="126">
        <f t="shared" si="7"/>
        <v>0</v>
      </c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117"/>
      <c r="B68" s="118">
        <v>1.0</v>
      </c>
      <c r="C68" s="111" t="str">
        <f>VLOOKUP(B68,Employees!A:B,2,FALSE)</f>
        <v>Rajat Hela</v>
      </c>
      <c r="D68" s="121">
        <v>0.8333333333333334</v>
      </c>
      <c r="E68" s="120"/>
      <c r="F68" s="121"/>
      <c r="G68" s="121">
        <v>0.20833333333333334</v>
      </c>
      <c r="H68" s="114">
        <f t="shared" si="16"/>
        <v>0</v>
      </c>
      <c r="I68" s="114">
        <f t="shared" si="17"/>
        <v>-0.625</v>
      </c>
      <c r="J68" s="115">
        <f t="shared" si="20"/>
        <v>-0.625</v>
      </c>
      <c r="K68" s="114">
        <f t="shared" si="19"/>
        <v>0</v>
      </c>
      <c r="L68" s="126">
        <f t="shared" si="6"/>
        <v>9</v>
      </c>
      <c r="M68" s="126">
        <f t="shared" si="7"/>
        <v>0</v>
      </c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6"/>
      <c r="J69" s="63"/>
      <c r="K69" s="63"/>
      <c r="L69" s="63"/>
      <c r="M69" s="64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6"/>
      <c r="J70" s="63"/>
      <c r="K70" s="63"/>
      <c r="L70" s="63"/>
      <c r="M70" s="64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6"/>
      <c r="J71" s="63"/>
      <c r="K71" s="63"/>
      <c r="L71" s="63"/>
      <c r="M71" s="64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6"/>
      <c r="J72" s="63"/>
      <c r="K72" s="63"/>
      <c r="L72" s="63"/>
      <c r="M72" s="64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6"/>
      <c r="J73" s="63"/>
      <c r="K73" s="63"/>
      <c r="L73" s="63"/>
      <c r="M73" s="64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6"/>
      <c r="J74" s="63"/>
      <c r="K74" s="63"/>
      <c r="L74" s="63"/>
      <c r="M74" s="64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6"/>
      <c r="J75" s="63"/>
      <c r="K75" s="63"/>
      <c r="L75" s="63"/>
      <c r="M75" s="64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6"/>
      <c r="J76" s="63"/>
      <c r="K76" s="63"/>
      <c r="L76" s="63"/>
      <c r="M76" s="64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6"/>
      <c r="J77" s="63"/>
      <c r="K77" s="63"/>
      <c r="L77" s="63"/>
      <c r="M77" s="64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6"/>
      <c r="J78" s="63"/>
      <c r="K78" s="63"/>
      <c r="L78" s="63"/>
      <c r="M78" s="64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6"/>
      <c r="J79" s="63"/>
      <c r="K79" s="63"/>
      <c r="L79" s="63"/>
      <c r="M79" s="64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6"/>
      <c r="J80" s="63"/>
      <c r="K80" s="63"/>
      <c r="L80" s="63"/>
      <c r="M80" s="64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6"/>
      <c r="J81" s="63"/>
      <c r="K81" s="63"/>
      <c r="L81" s="63"/>
      <c r="M81" s="64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6"/>
      <c r="J82" s="63"/>
      <c r="K82" s="63"/>
      <c r="L82" s="63"/>
      <c r="M82" s="64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6"/>
      <c r="J83" s="63"/>
      <c r="K83" s="63"/>
      <c r="L83" s="63"/>
      <c r="M83" s="64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6"/>
      <c r="J84" s="63"/>
      <c r="K84" s="63"/>
      <c r="L84" s="63"/>
      <c r="M84" s="64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6"/>
      <c r="J85" s="63"/>
      <c r="K85" s="63"/>
      <c r="L85" s="63"/>
      <c r="M85" s="64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6"/>
      <c r="J86" s="63"/>
      <c r="K86" s="63"/>
      <c r="L86" s="63"/>
      <c r="M86" s="64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6"/>
      <c r="J87" s="63"/>
      <c r="K87" s="63"/>
      <c r="L87" s="63"/>
      <c r="M87" s="64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6"/>
      <c r="J88" s="63"/>
      <c r="K88" s="63"/>
      <c r="L88" s="63"/>
      <c r="M88" s="64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6"/>
      <c r="J89" s="63"/>
      <c r="K89" s="63"/>
      <c r="L89" s="63"/>
      <c r="M89" s="64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6"/>
      <c r="J90" s="63"/>
      <c r="K90" s="63"/>
      <c r="L90" s="63"/>
      <c r="M90" s="64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6"/>
      <c r="J91" s="63"/>
      <c r="K91" s="63"/>
      <c r="L91" s="63"/>
      <c r="M91" s="64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6"/>
      <c r="J92" s="63"/>
      <c r="K92" s="63"/>
      <c r="L92" s="63"/>
      <c r="M92" s="64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6"/>
      <c r="J93" s="63"/>
      <c r="K93" s="63"/>
      <c r="L93" s="63"/>
      <c r="M93" s="64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6"/>
      <c r="J94" s="63"/>
      <c r="K94" s="63"/>
      <c r="L94" s="63"/>
      <c r="M94" s="64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6"/>
      <c r="J95" s="63"/>
      <c r="K95" s="63"/>
      <c r="L95" s="63"/>
      <c r="M95" s="64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6"/>
      <c r="J96" s="63"/>
      <c r="K96" s="63"/>
      <c r="L96" s="63"/>
      <c r="M96" s="64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6"/>
      <c r="J97" s="63"/>
      <c r="K97" s="63"/>
      <c r="L97" s="63"/>
      <c r="M97" s="64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6"/>
      <c r="J98" s="63"/>
      <c r="K98" s="63"/>
      <c r="L98" s="63"/>
      <c r="M98" s="64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6"/>
      <c r="J99" s="63"/>
      <c r="K99" s="63"/>
      <c r="L99" s="63"/>
      <c r="M99" s="64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6"/>
      <c r="J100" s="63"/>
      <c r="K100" s="63"/>
      <c r="L100" s="63"/>
      <c r="M100" s="64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6"/>
      <c r="J101" s="63"/>
      <c r="K101" s="63"/>
      <c r="L101" s="63"/>
      <c r="M101" s="64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6"/>
      <c r="J102" s="63"/>
      <c r="K102" s="63"/>
      <c r="L102" s="63"/>
      <c r="M102" s="64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6"/>
      <c r="J103" s="63"/>
      <c r="K103" s="63"/>
      <c r="L103" s="63"/>
      <c r="M103" s="64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6"/>
      <c r="J104" s="63"/>
      <c r="K104" s="63"/>
      <c r="L104" s="63"/>
      <c r="M104" s="64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6"/>
      <c r="J105" s="63"/>
      <c r="K105" s="63"/>
      <c r="L105" s="63"/>
      <c r="M105" s="64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6"/>
      <c r="J106" s="63"/>
      <c r="K106" s="63"/>
      <c r="L106" s="63"/>
      <c r="M106" s="64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6"/>
      <c r="J107" s="63"/>
      <c r="K107" s="63"/>
      <c r="L107" s="63"/>
      <c r="M107" s="64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6"/>
      <c r="J108" s="63"/>
      <c r="K108" s="63"/>
      <c r="L108" s="63"/>
      <c r="M108" s="64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6"/>
      <c r="J109" s="63"/>
      <c r="K109" s="63"/>
      <c r="L109" s="63"/>
      <c r="M109" s="64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6"/>
      <c r="J110" s="63"/>
      <c r="K110" s="63"/>
      <c r="L110" s="63"/>
      <c r="M110" s="64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6"/>
      <c r="J111" s="63"/>
      <c r="K111" s="63"/>
      <c r="L111" s="63"/>
      <c r="M111" s="64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6"/>
      <c r="J112" s="63"/>
      <c r="K112" s="63"/>
      <c r="L112" s="63"/>
      <c r="M112" s="64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6"/>
      <c r="J113" s="63"/>
      <c r="K113" s="63"/>
      <c r="L113" s="63"/>
      <c r="M113" s="64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6"/>
      <c r="J114" s="63"/>
      <c r="K114" s="63"/>
      <c r="L114" s="63"/>
      <c r="M114" s="64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6"/>
      <c r="J115" s="63"/>
      <c r="K115" s="63"/>
      <c r="L115" s="63"/>
      <c r="M115" s="64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6"/>
      <c r="J116" s="63"/>
      <c r="K116" s="63"/>
      <c r="L116" s="63"/>
      <c r="M116" s="64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6"/>
      <c r="J117" s="63"/>
      <c r="K117" s="63"/>
      <c r="L117" s="63"/>
      <c r="M117" s="64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6"/>
      <c r="J118" s="63"/>
      <c r="K118" s="63"/>
      <c r="L118" s="63"/>
      <c r="M118" s="64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6"/>
      <c r="J119" s="63"/>
      <c r="K119" s="63"/>
      <c r="L119" s="63"/>
      <c r="M119" s="64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6"/>
      <c r="J120" s="63"/>
      <c r="K120" s="63"/>
      <c r="L120" s="63"/>
      <c r="M120" s="64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6"/>
      <c r="J121" s="63"/>
      <c r="K121" s="63"/>
      <c r="L121" s="63"/>
      <c r="M121" s="64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6"/>
      <c r="J122" s="63"/>
      <c r="K122" s="63"/>
      <c r="L122" s="63"/>
      <c r="M122" s="64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6"/>
      <c r="J123" s="63"/>
      <c r="K123" s="63"/>
      <c r="L123" s="63"/>
      <c r="M123" s="64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6"/>
      <c r="J124" s="63"/>
      <c r="K124" s="63"/>
      <c r="L124" s="63"/>
      <c r="M124" s="64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6"/>
      <c r="J125" s="63"/>
      <c r="K125" s="63"/>
      <c r="L125" s="63"/>
      <c r="M125" s="64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6"/>
      <c r="J126" s="63"/>
      <c r="K126" s="63"/>
      <c r="L126" s="63"/>
      <c r="M126" s="64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6"/>
      <c r="J127" s="63"/>
      <c r="K127" s="63"/>
      <c r="L127" s="63"/>
      <c r="M127" s="64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6"/>
      <c r="J128" s="63"/>
      <c r="K128" s="63"/>
      <c r="L128" s="63"/>
      <c r="M128" s="64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6"/>
      <c r="J129" s="63"/>
      <c r="K129" s="63"/>
      <c r="L129" s="63"/>
      <c r="M129" s="64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6"/>
      <c r="J130" s="63"/>
      <c r="K130" s="63"/>
      <c r="L130" s="63"/>
      <c r="M130" s="64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6"/>
      <c r="J131" s="63"/>
      <c r="K131" s="63"/>
      <c r="L131" s="63"/>
      <c r="M131" s="64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6"/>
      <c r="J132" s="63"/>
      <c r="K132" s="63"/>
      <c r="L132" s="63"/>
      <c r="M132" s="64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6"/>
      <c r="J133" s="63"/>
      <c r="K133" s="63"/>
      <c r="L133" s="63"/>
      <c r="M133" s="64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6"/>
      <c r="J134" s="63"/>
      <c r="K134" s="63"/>
      <c r="L134" s="63"/>
      <c r="M134" s="64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6"/>
      <c r="J135" s="63"/>
      <c r="K135" s="63"/>
      <c r="L135" s="63"/>
      <c r="M135" s="64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6"/>
      <c r="J136" s="63"/>
      <c r="K136" s="63"/>
      <c r="L136" s="63"/>
      <c r="M136" s="64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6"/>
      <c r="J137" s="63"/>
      <c r="K137" s="63"/>
      <c r="L137" s="63"/>
      <c r="M137" s="64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6"/>
      <c r="J138" s="63"/>
      <c r="K138" s="63"/>
      <c r="L138" s="63"/>
      <c r="M138" s="64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6"/>
      <c r="J139" s="63"/>
      <c r="K139" s="63"/>
      <c r="L139" s="63"/>
      <c r="M139" s="64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6"/>
      <c r="J140" s="63"/>
      <c r="K140" s="63"/>
      <c r="L140" s="63"/>
      <c r="M140" s="64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6"/>
      <c r="J141" s="63"/>
      <c r="K141" s="63"/>
      <c r="L141" s="63"/>
      <c r="M141" s="64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6"/>
      <c r="J142" s="63"/>
      <c r="K142" s="63"/>
      <c r="L142" s="63"/>
      <c r="M142" s="64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6"/>
      <c r="J143" s="63"/>
      <c r="K143" s="63"/>
      <c r="L143" s="63"/>
      <c r="M143" s="64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6"/>
      <c r="J144" s="63"/>
      <c r="K144" s="63"/>
      <c r="L144" s="63"/>
      <c r="M144" s="64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6"/>
      <c r="J145" s="63"/>
      <c r="K145" s="63"/>
      <c r="L145" s="63"/>
      <c r="M145" s="64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6"/>
      <c r="J146" s="63"/>
      <c r="K146" s="63"/>
      <c r="L146" s="63"/>
      <c r="M146" s="64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6"/>
      <c r="J147" s="63"/>
      <c r="K147" s="63"/>
      <c r="L147" s="63"/>
      <c r="M147" s="64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6"/>
      <c r="J148" s="63"/>
      <c r="K148" s="63"/>
      <c r="L148" s="63"/>
      <c r="M148" s="64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6"/>
      <c r="J149" s="63"/>
      <c r="K149" s="63"/>
      <c r="L149" s="63"/>
      <c r="M149" s="64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6"/>
      <c r="J150" s="63"/>
      <c r="K150" s="63"/>
      <c r="L150" s="63"/>
      <c r="M150" s="64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6"/>
      <c r="J151" s="63"/>
      <c r="K151" s="63"/>
      <c r="L151" s="63"/>
      <c r="M151" s="64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6"/>
      <c r="J152" s="63"/>
      <c r="K152" s="63"/>
      <c r="L152" s="63"/>
      <c r="M152" s="64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6"/>
      <c r="J153" s="63"/>
      <c r="K153" s="63"/>
      <c r="L153" s="63"/>
      <c r="M153" s="64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6"/>
      <c r="J154" s="63"/>
      <c r="K154" s="63"/>
      <c r="L154" s="63"/>
      <c r="M154" s="64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6"/>
      <c r="J155" s="63"/>
      <c r="K155" s="63"/>
      <c r="L155" s="63"/>
      <c r="M155" s="64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6"/>
      <c r="J156" s="63"/>
      <c r="K156" s="63"/>
      <c r="L156" s="63"/>
      <c r="M156" s="64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6"/>
      <c r="J157" s="63"/>
      <c r="K157" s="63"/>
      <c r="L157" s="63"/>
      <c r="M157" s="64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6"/>
      <c r="J158" s="63"/>
      <c r="K158" s="63"/>
      <c r="L158" s="63"/>
      <c r="M158" s="64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6"/>
      <c r="J159" s="63"/>
      <c r="K159" s="63"/>
      <c r="L159" s="63"/>
      <c r="M159" s="64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6"/>
      <c r="J160" s="63"/>
      <c r="K160" s="63"/>
      <c r="L160" s="63"/>
      <c r="M160" s="64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6"/>
      <c r="J161" s="63"/>
      <c r="K161" s="63"/>
      <c r="L161" s="63"/>
      <c r="M161" s="64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6"/>
      <c r="J162" s="63"/>
      <c r="K162" s="63"/>
      <c r="L162" s="63"/>
      <c r="M162" s="64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6"/>
      <c r="J163" s="63"/>
      <c r="K163" s="63"/>
      <c r="L163" s="63"/>
      <c r="M163" s="64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6"/>
      <c r="J164" s="63"/>
      <c r="K164" s="63"/>
      <c r="L164" s="63"/>
      <c r="M164" s="64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6"/>
      <c r="J165" s="63"/>
      <c r="K165" s="63"/>
      <c r="L165" s="63"/>
      <c r="M165" s="64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6"/>
      <c r="J166" s="63"/>
      <c r="K166" s="63"/>
      <c r="L166" s="63"/>
      <c r="M166" s="64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6"/>
      <c r="J167" s="63"/>
      <c r="K167" s="63"/>
      <c r="L167" s="63"/>
      <c r="M167" s="64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6"/>
      <c r="J168" s="63"/>
      <c r="K168" s="63"/>
      <c r="L168" s="63"/>
      <c r="M168" s="64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6"/>
      <c r="J169" s="63"/>
      <c r="K169" s="63"/>
      <c r="L169" s="63"/>
      <c r="M169" s="64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6"/>
      <c r="J170" s="63"/>
      <c r="K170" s="63"/>
      <c r="L170" s="63"/>
      <c r="M170" s="64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6"/>
      <c r="J171" s="63"/>
      <c r="K171" s="63"/>
      <c r="L171" s="63"/>
      <c r="M171" s="64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6"/>
      <c r="J172" s="63"/>
      <c r="K172" s="63"/>
      <c r="L172" s="63"/>
      <c r="M172" s="64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6"/>
      <c r="J173" s="63"/>
      <c r="K173" s="63"/>
      <c r="L173" s="63"/>
      <c r="M173" s="64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6"/>
      <c r="J174" s="63"/>
      <c r="K174" s="63"/>
      <c r="L174" s="63"/>
      <c r="M174" s="64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6"/>
      <c r="J175" s="63"/>
      <c r="K175" s="63"/>
      <c r="L175" s="63"/>
      <c r="M175" s="64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6"/>
      <c r="J176" s="63"/>
      <c r="K176" s="63"/>
      <c r="L176" s="63"/>
      <c r="M176" s="64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6"/>
      <c r="J177" s="63"/>
      <c r="K177" s="63"/>
      <c r="L177" s="63"/>
      <c r="M177" s="64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6"/>
      <c r="J178" s="63"/>
      <c r="K178" s="63"/>
      <c r="L178" s="63"/>
      <c r="M178" s="64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6"/>
      <c r="J179" s="63"/>
      <c r="K179" s="63"/>
      <c r="L179" s="63"/>
      <c r="M179" s="64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6"/>
      <c r="J180" s="63"/>
      <c r="K180" s="63"/>
      <c r="L180" s="63"/>
      <c r="M180" s="64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6"/>
      <c r="J181" s="63"/>
      <c r="K181" s="63"/>
      <c r="L181" s="63"/>
      <c r="M181" s="64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6"/>
      <c r="J182" s="63"/>
      <c r="K182" s="63"/>
      <c r="L182" s="63"/>
      <c r="M182" s="64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6"/>
      <c r="J183" s="63"/>
      <c r="K183" s="63"/>
      <c r="L183" s="63"/>
      <c r="M183" s="64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6"/>
      <c r="J184" s="63"/>
      <c r="K184" s="63"/>
      <c r="L184" s="63"/>
      <c r="M184" s="64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6"/>
      <c r="J185" s="63"/>
      <c r="K185" s="63"/>
      <c r="L185" s="63"/>
      <c r="M185" s="64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6"/>
      <c r="J186" s="63"/>
      <c r="K186" s="63"/>
      <c r="L186" s="63"/>
      <c r="M186" s="64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6"/>
      <c r="J187" s="63"/>
      <c r="K187" s="63"/>
      <c r="L187" s="63"/>
      <c r="M187" s="64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6"/>
      <c r="J188" s="63"/>
      <c r="K188" s="63"/>
      <c r="L188" s="63"/>
      <c r="M188" s="64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6"/>
      <c r="J189" s="63"/>
      <c r="K189" s="63"/>
      <c r="L189" s="63"/>
      <c r="M189" s="64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6"/>
      <c r="J190" s="63"/>
      <c r="K190" s="63"/>
      <c r="L190" s="63"/>
      <c r="M190" s="64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6"/>
      <c r="J191" s="63"/>
      <c r="K191" s="63"/>
      <c r="L191" s="63"/>
      <c r="M191" s="64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6"/>
      <c r="J192" s="63"/>
      <c r="K192" s="63"/>
      <c r="L192" s="63"/>
      <c r="M192" s="64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6"/>
      <c r="J193" s="63"/>
      <c r="K193" s="63"/>
      <c r="L193" s="63"/>
      <c r="M193" s="64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6"/>
      <c r="J194" s="63"/>
      <c r="K194" s="63"/>
      <c r="L194" s="63"/>
      <c r="M194" s="64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6"/>
      <c r="J195" s="63"/>
      <c r="K195" s="63"/>
      <c r="L195" s="63"/>
      <c r="M195" s="64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6"/>
      <c r="J196" s="63"/>
      <c r="K196" s="63"/>
      <c r="L196" s="63"/>
      <c r="M196" s="64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6"/>
      <c r="J197" s="63"/>
      <c r="K197" s="63"/>
      <c r="L197" s="63"/>
      <c r="M197" s="64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6"/>
      <c r="J198" s="63"/>
      <c r="K198" s="63"/>
      <c r="L198" s="63"/>
      <c r="M198" s="64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6"/>
      <c r="J199" s="63"/>
      <c r="K199" s="63"/>
      <c r="L199" s="63"/>
      <c r="M199" s="64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6"/>
      <c r="J200" s="63"/>
      <c r="K200" s="63"/>
      <c r="L200" s="63"/>
      <c r="M200" s="64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6"/>
      <c r="J201" s="63"/>
      <c r="K201" s="63"/>
      <c r="L201" s="63"/>
      <c r="M201" s="64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6"/>
      <c r="J202" s="63"/>
      <c r="K202" s="63"/>
      <c r="L202" s="63"/>
      <c r="M202" s="64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6"/>
      <c r="J203" s="63"/>
      <c r="K203" s="63"/>
      <c r="L203" s="63"/>
      <c r="M203" s="64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6"/>
      <c r="J204" s="63"/>
      <c r="K204" s="63"/>
      <c r="L204" s="63"/>
      <c r="M204" s="64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6"/>
      <c r="J205" s="63"/>
      <c r="K205" s="63"/>
      <c r="L205" s="63"/>
      <c r="M205" s="64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6"/>
      <c r="J206" s="63"/>
      <c r="K206" s="63"/>
      <c r="L206" s="63"/>
      <c r="M206" s="64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6"/>
      <c r="J207" s="63"/>
      <c r="K207" s="63"/>
      <c r="L207" s="63"/>
      <c r="M207" s="64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6"/>
      <c r="J208" s="63"/>
      <c r="K208" s="63"/>
      <c r="L208" s="63"/>
      <c r="M208" s="64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6"/>
      <c r="J209" s="63"/>
      <c r="K209" s="63"/>
      <c r="L209" s="63"/>
      <c r="M209" s="64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6"/>
      <c r="J210" s="63"/>
      <c r="K210" s="63"/>
      <c r="L210" s="63"/>
      <c r="M210" s="64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6"/>
      <c r="J211" s="63"/>
      <c r="K211" s="63"/>
      <c r="L211" s="63"/>
      <c r="M211" s="64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6"/>
      <c r="J212" s="63"/>
      <c r="K212" s="63"/>
      <c r="L212" s="63"/>
      <c r="M212" s="64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6"/>
      <c r="J213" s="63"/>
      <c r="K213" s="63"/>
      <c r="L213" s="63"/>
      <c r="M213" s="64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6"/>
      <c r="J214" s="63"/>
      <c r="K214" s="63"/>
      <c r="L214" s="63"/>
      <c r="M214" s="64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6"/>
      <c r="J215" s="63"/>
      <c r="K215" s="63"/>
      <c r="L215" s="63"/>
      <c r="M215" s="64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6"/>
      <c r="J216" s="63"/>
      <c r="K216" s="63"/>
      <c r="L216" s="63"/>
      <c r="M216" s="64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6"/>
      <c r="J217" s="63"/>
      <c r="K217" s="63"/>
      <c r="L217" s="63"/>
      <c r="M217" s="64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6"/>
      <c r="J218" s="63"/>
      <c r="K218" s="63"/>
      <c r="L218" s="63"/>
      <c r="M218" s="64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6"/>
      <c r="J219" s="63"/>
      <c r="K219" s="63"/>
      <c r="L219" s="63"/>
      <c r="M219" s="64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6"/>
      <c r="J220" s="63"/>
      <c r="K220" s="63"/>
      <c r="L220" s="63"/>
      <c r="M220" s="64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6"/>
      <c r="J221" s="63"/>
      <c r="K221" s="63"/>
      <c r="L221" s="63"/>
      <c r="M221" s="64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6"/>
      <c r="J222" s="63"/>
      <c r="K222" s="63"/>
      <c r="L222" s="63"/>
      <c r="M222" s="64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6"/>
      <c r="J223" s="63"/>
      <c r="K223" s="63"/>
      <c r="L223" s="63"/>
      <c r="M223" s="64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6"/>
      <c r="J224" s="63"/>
      <c r="K224" s="63"/>
      <c r="L224" s="63"/>
      <c r="M224" s="64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6"/>
      <c r="J225" s="63"/>
      <c r="K225" s="63"/>
      <c r="L225" s="63"/>
      <c r="M225" s="64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6"/>
      <c r="J226" s="63"/>
      <c r="K226" s="63"/>
      <c r="L226" s="63"/>
      <c r="M226" s="64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6"/>
      <c r="J227" s="63"/>
      <c r="K227" s="63"/>
      <c r="L227" s="63"/>
      <c r="M227" s="64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6"/>
      <c r="J228" s="63"/>
      <c r="K228" s="63"/>
      <c r="L228" s="63"/>
      <c r="M228" s="64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6"/>
      <c r="J229" s="63"/>
      <c r="K229" s="63"/>
      <c r="L229" s="63"/>
      <c r="M229" s="64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6"/>
      <c r="J230" s="63"/>
      <c r="K230" s="63"/>
      <c r="L230" s="63"/>
      <c r="M230" s="64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6"/>
      <c r="J231" s="63"/>
      <c r="K231" s="63"/>
      <c r="L231" s="63"/>
      <c r="M231" s="64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6"/>
      <c r="J232" s="63"/>
      <c r="K232" s="63"/>
      <c r="L232" s="63"/>
      <c r="M232" s="64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6"/>
      <c r="J233" s="63"/>
      <c r="K233" s="63"/>
      <c r="L233" s="63"/>
      <c r="M233" s="64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6"/>
      <c r="J234" s="63"/>
      <c r="K234" s="63"/>
      <c r="L234" s="63"/>
      <c r="M234" s="64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6"/>
      <c r="J235" s="63"/>
      <c r="K235" s="63"/>
      <c r="L235" s="63"/>
      <c r="M235" s="64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6"/>
      <c r="J236" s="63"/>
      <c r="K236" s="63"/>
      <c r="L236" s="63"/>
      <c r="M236" s="64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6"/>
      <c r="J237" s="63"/>
      <c r="K237" s="63"/>
      <c r="L237" s="63"/>
      <c r="M237" s="64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6"/>
      <c r="J238" s="63"/>
      <c r="K238" s="63"/>
      <c r="L238" s="63"/>
      <c r="M238" s="64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6"/>
      <c r="J239" s="63"/>
      <c r="K239" s="63"/>
      <c r="L239" s="63"/>
      <c r="M239" s="64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6"/>
      <c r="J240" s="63"/>
      <c r="K240" s="63"/>
      <c r="L240" s="63"/>
      <c r="M240" s="64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6"/>
      <c r="J241" s="63"/>
      <c r="K241" s="63"/>
      <c r="L241" s="63"/>
      <c r="M241" s="64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6"/>
      <c r="J242" s="63"/>
      <c r="K242" s="63"/>
      <c r="L242" s="63"/>
      <c r="M242" s="64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6"/>
      <c r="J243" s="63"/>
      <c r="K243" s="63"/>
      <c r="L243" s="63"/>
      <c r="M243" s="64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6"/>
      <c r="J244" s="63"/>
      <c r="K244" s="63"/>
      <c r="L244" s="63"/>
      <c r="M244" s="64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6"/>
      <c r="J245" s="63"/>
      <c r="K245" s="63"/>
      <c r="L245" s="63"/>
      <c r="M245" s="64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6"/>
      <c r="J246" s="63"/>
      <c r="K246" s="63"/>
      <c r="L246" s="63"/>
      <c r="M246" s="64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6"/>
      <c r="J247" s="63"/>
      <c r="K247" s="63"/>
      <c r="L247" s="63"/>
      <c r="M247" s="64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6"/>
      <c r="J248" s="63"/>
      <c r="K248" s="63"/>
      <c r="L248" s="63"/>
      <c r="M248" s="64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6"/>
      <c r="J249" s="63"/>
      <c r="K249" s="63"/>
      <c r="L249" s="63"/>
      <c r="M249" s="64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6"/>
      <c r="J250" s="63"/>
      <c r="K250" s="63"/>
      <c r="L250" s="63"/>
      <c r="M250" s="64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6"/>
      <c r="J251" s="63"/>
      <c r="K251" s="63"/>
      <c r="L251" s="63"/>
      <c r="M251" s="64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6"/>
      <c r="J252" s="63"/>
      <c r="K252" s="63"/>
      <c r="L252" s="63"/>
      <c r="M252" s="64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6"/>
      <c r="J253" s="63"/>
      <c r="K253" s="63"/>
      <c r="L253" s="63"/>
      <c r="M253" s="64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6"/>
      <c r="J254" s="63"/>
      <c r="K254" s="63"/>
      <c r="L254" s="63"/>
      <c r="M254" s="64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6"/>
      <c r="J255" s="63"/>
      <c r="K255" s="63"/>
      <c r="L255" s="63"/>
      <c r="M255" s="64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6"/>
      <c r="J256" s="63"/>
      <c r="K256" s="63"/>
      <c r="L256" s="63"/>
      <c r="M256" s="64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6"/>
      <c r="J257" s="63"/>
      <c r="K257" s="63"/>
      <c r="L257" s="63"/>
      <c r="M257" s="64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6"/>
      <c r="J258" s="63"/>
      <c r="K258" s="63"/>
      <c r="L258" s="63"/>
      <c r="M258" s="64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6"/>
      <c r="J259" s="63"/>
      <c r="K259" s="63"/>
      <c r="L259" s="63"/>
      <c r="M259" s="64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6"/>
      <c r="J260" s="63"/>
      <c r="K260" s="63"/>
      <c r="L260" s="63"/>
      <c r="M260" s="64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6"/>
      <c r="J261" s="63"/>
      <c r="K261" s="63"/>
      <c r="L261" s="63"/>
      <c r="M261" s="64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6"/>
      <c r="J262" s="63"/>
      <c r="K262" s="63"/>
      <c r="L262" s="63"/>
      <c r="M262" s="64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6"/>
      <c r="J263" s="63"/>
      <c r="K263" s="63"/>
      <c r="L263" s="63"/>
      <c r="M263" s="64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6"/>
      <c r="J264" s="63"/>
      <c r="K264" s="63"/>
      <c r="L264" s="63"/>
      <c r="M264" s="64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6"/>
      <c r="J265" s="63"/>
      <c r="K265" s="63"/>
      <c r="L265" s="63"/>
      <c r="M265" s="64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6"/>
      <c r="J266" s="63"/>
      <c r="K266" s="63"/>
      <c r="L266" s="63"/>
      <c r="M266" s="64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6"/>
      <c r="J267" s="63"/>
      <c r="K267" s="63"/>
      <c r="L267" s="63"/>
      <c r="M267" s="64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6"/>
      <c r="J268" s="63"/>
      <c r="K268" s="63"/>
      <c r="L268" s="63"/>
      <c r="M268" s="64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6"/>
      <c r="J269" s="63"/>
      <c r="K269" s="63"/>
      <c r="L269" s="63"/>
      <c r="M269" s="64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6"/>
      <c r="J270" s="63"/>
      <c r="K270" s="63"/>
      <c r="L270" s="63"/>
      <c r="M270" s="64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6"/>
      <c r="J271" s="63"/>
      <c r="K271" s="63"/>
      <c r="L271" s="63"/>
      <c r="M271" s="64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6"/>
      <c r="J272" s="63"/>
      <c r="K272" s="63"/>
      <c r="L272" s="63"/>
      <c r="M272" s="64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6"/>
      <c r="J273" s="63"/>
      <c r="K273" s="63"/>
      <c r="L273" s="63"/>
      <c r="M273" s="64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6"/>
      <c r="J274" s="63"/>
      <c r="K274" s="63"/>
      <c r="L274" s="63"/>
      <c r="M274" s="64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6"/>
      <c r="J275" s="63"/>
      <c r="K275" s="63"/>
      <c r="L275" s="63"/>
      <c r="M275" s="64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6"/>
      <c r="J276" s="63"/>
      <c r="K276" s="63"/>
      <c r="L276" s="63"/>
      <c r="M276" s="64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6"/>
      <c r="J277" s="63"/>
      <c r="K277" s="63"/>
      <c r="L277" s="63"/>
      <c r="M277" s="64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6"/>
      <c r="J278" s="63"/>
      <c r="K278" s="63"/>
      <c r="L278" s="63"/>
      <c r="M278" s="64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6"/>
      <c r="J279" s="63"/>
      <c r="K279" s="63"/>
      <c r="L279" s="63"/>
      <c r="M279" s="64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6"/>
      <c r="J280" s="63"/>
      <c r="K280" s="63"/>
      <c r="L280" s="63"/>
      <c r="M280" s="64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6"/>
      <c r="J281" s="63"/>
      <c r="K281" s="63"/>
      <c r="L281" s="63"/>
      <c r="M281" s="64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6"/>
      <c r="J282" s="63"/>
      <c r="K282" s="63"/>
      <c r="L282" s="63"/>
      <c r="M282" s="64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6"/>
      <c r="J283" s="63"/>
      <c r="K283" s="63"/>
      <c r="L283" s="63"/>
      <c r="M283" s="64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6"/>
      <c r="J284" s="63"/>
      <c r="K284" s="63"/>
      <c r="L284" s="63"/>
      <c r="M284" s="64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6"/>
      <c r="J285" s="63"/>
      <c r="K285" s="63"/>
      <c r="L285" s="63"/>
      <c r="M285" s="64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6"/>
      <c r="J286" s="63"/>
      <c r="K286" s="63"/>
      <c r="L286" s="63"/>
      <c r="M286" s="64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6"/>
      <c r="J287" s="63"/>
      <c r="K287" s="63"/>
      <c r="L287" s="63"/>
      <c r="M287" s="64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6"/>
      <c r="J288" s="63"/>
      <c r="K288" s="63"/>
      <c r="L288" s="63"/>
      <c r="M288" s="64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6"/>
      <c r="J289" s="63"/>
      <c r="K289" s="63"/>
      <c r="L289" s="63"/>
      <c r="M289" s="64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6"/>
      <c r="J290" s="63"/>
      <c r="K290" s="63"/>
      <c r="L290" s="63"/>
      <c r="M290" s="64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6"/>
      <c r="J291" s="63"/>
      <c r="K291" s="63"/>
      <c r="L291" s="63"/>
      <c r="M291" s="64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6"/>
      <c r="J292" s="63"/>
      <c r="K292" s="63"/>
      <c r="L292" s="63"/>
      <c r="M292" s="64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6"/>
      <c r="J293" s="63"/>
      <c r="K293" s="63"/>
      <c r="L293" s="63"/>
      <c r="M293" s="64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6"/>
      <c r="J294" s="63"/>
      <c r="K294" s="63"/>
      <c r="L294" s="63"/>
      <c r="M294" s="64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6"/>
      <c r="J295" s="63"/>
      <c r="K295" s="63"/>
      <c r="L295" s="63"/>
      <c r="M295" s="64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6"/>
      <c r="J296" s="63"/>
      <c r="K296" s="63"/>
      <c r="L296" s="63"/>
      <c r="M296" s="64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6"/>
      <c r="J297" s="63"/>
      <c r="K297" s="63"/>
      <c r="L297" s="63"/>
      <c r="M297" s="64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6"/>
      <c r="J298" s="63"/>
      <c r="K298" s="63"/>
      <c r="L298" s="63"/>
      <c r="M298" s="64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6"/>
      <c r="J299" s="63"/>
      <c r="K299" s="63"/>
      <c r="L299" s="63"/>
      <c r="M299" s="64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6"/>
      <c r="J300" s="63"/>
      <c r="K300" s="63"/>
      <c r="L300" s="63"/>
      <c r="M300" s="64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6"/>
      <c r="J301" s="63"/>
      <c r="K301" s="63"/>
      <c r="L301" s="63"/>
      <c r="M301" s="64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6"/>
      <c r="J302" s="63"/>
      <c r="K302" s="63"/>
      <c r="L302" s="63"/>
      <c r="M302" s="64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6"/>
      <c r="J303" s="63"/>
      <c r="K303" s="63"/>
      <c r="L303" s="63"/>
      <c r="M303" s="64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6"/>
      <c r="J304" s="63"/>
      <c r="K304" s="63"/>
      <c r="L304" s="63"/>
      <c r="M304" s="64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6"/>
      <c r="J305" s="63"/>
      <c r="K305" s="63"/>
      <c r="L305" s="63"/>
      <c r="M305" s="64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6"/>
      <c r="J306" s="63"/>
      <c r="K306" s="63"/>
      <c r="L306" s="63"/>
      <c r="M306" s="64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6"/>
      <c r="J307" s="63"/>
      <c r="K307" s="63"/>
      <c r="L307" s="63"/>
      <c r="M307" s="64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6"/>
      <c r="J308" s="63"/>
      <c r="K308" s="63"/>
      <c r="L308" s="63"/>
      <c r="M308" s="64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6"/>
      <c r="J309" s="63"/>
      <c r="K309" s="63"/>
      <c r="L309" s="63"/>
      <c r="M309" s="64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6"/>
      <c r="J310" s="63"/>
      <c r="K310" s="63"/>
      <c r="L310" s="63"/>
      <c r="M310" s="64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6"/>
      <c r="J311" s="63"/>
      <c r="K311" s="63"/>
      <c r="L311" s="63"/>
      <c r="M311" s="64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6"/>
      <c r="J312" s="63"/>
      <c r="K312" s="63"/>
      <c r="L312" s="63"/>
      <c r="M312" s="64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6"/>
      <c r="J313" s="63"/>
      <c r="K313" s="63"/>
      <c r="L313" s="63"/>
      <c r="M313" s="64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6"/>
      <c r="J314" s="63"/>
      <c r="K314" s="63"/>
      <c r="L314" s="63"/>
      <c r="M314" s="64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6"/>
      <c r="J315" s="63"/>
      <c r="K315" s="63"/>
      <c r="L315" s="63"/>
      <c r="M315" s="64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6"/>
      <c r="J316" s="63"/>
      <c r="K316" s="63"/>
      <c r="L316" s="63"/>
      <c r="M316" s="64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6"/>
      <c r="J317" s="63"/>
      <c r="K317" s="63"/>
      <c r="L317" s="63"/>
      <c r="M317" s="64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6"/>
      <c r="J318" s="63"/>
      <c r="K318" s="63"/>
      <c r="L318" s="63"/>
      <c r="M318" s="64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6"/>
      <c r="J319" s="63"/>
      <c r="K319" s="63"/>
      <c r="L319" s="63"/>
      <c r="M319" s="64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6"/>
      <c r="J320" s="63"/>
      <c r="K320" s="63"/>
      <c r="L320" s="63"/>
      <c r="M320" s="64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6"/>
      <c r="J321" s="63"/>
      <c r="K321" s="63"/>
      <c r="L321" s="63"/>
      <c r="M321" s="64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6"/>
      <c r="J322" s="63"/>
      <c r="K322" s="63"/>
      <c r="L322" s="63"/>
      <c r="M322" s="64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6"/>
      <c r="J323" s="63"/>
      <c r="K323" s="63"/>
      <c r="L323" s="63"/>
      <c r="M323" s="64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6"/>
      <c r="J324" s="63"/>
      <c r="K324" s="63"/>
      <c r="L324" s="63"/>
      <c r="M324" s="64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6"/>
      <c r="J325" s="63"/>
      <c r="K325" s="63"/>
      <c r="L325" s="63"/>
      <c r="M325" s="64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6"/>
      <c r="J326" s="63"/>
      <c r="K326" s="63"/>
      <c r="L326" s="63"/>
      <c r="M326" s="64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6"/>
      <c r="J327" s="63"/>
      <c r="K327" s="63"/>
      <c r="L327" s="63"/>
      <c r="M327" s="64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6"/>
      <c r="J328" s="63"/>
      <c r="K328" s="63"/>
      <c r="L328" s="63"/>
      <c r="M328" s="64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6"/>
      <c r="J329" s="63"/>
      <c r="K329" s="63"/>
      <c r="L329" s="63"/>
      <c r="M329" s="64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6"/>
      <c r="J330" s="63"/>
      <c r="K330" s="63"/>
      <c r="L330" s="63"/>
      <c r="M330" s="64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6"/>
      <c r="J331" s="63"/>
      <c r="K331" s="63"/>
      <c r="L331" s="63"/>
      <c r="M331" s="64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6"/>
      <c r="J332" s="63"/>
      <c r="K332" s="63"/>
      <c r="L332" s="63"/>
      <c r="M332" s="64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6"/>
      <c r="J333" s="63"/>
      <c r="K333" s="63"/>
      <c r="L333" s="63"/>
      <c r="M333" s="64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6"/>
      <c r="J334" s="63"/>
      <c r="K334" s="63"/>
      <c r="L334" s="63"/>
      <c r="M334" s="64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6"/>
      <c r="J335" s="63"/>
      <c r="K335" s="63"/>
      <c r="L335" s="63"/>
      <c r="M335" s="64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6"/>
      <c r="J336" s="63"/>
      <c r="K336" s="63"/>
      <c r="L336" s="63"/>
      <c r="M336" s="64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6"/>
      <c r="J337" s="63"/>
      <c r="K337" s="63"/>
      <c r="L337" s="63"/>
      <c r="M337" s="64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6"/>
      <c r="J338" s="63"/>
      <c r="K338" s="63"/>
      <c r="L338" s="63"/>
      <c r="M338" s="64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6"/>
      <c r="J339" s="63"/>
      <c r="K339" s="63"/>
      <c r="L339" s="63"/>
      <c r="M339" s="64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6"/>
      <c r="J340" s="63"/>
      <c r="K340" s="63"/>
      <c r="L340" s="63"/>
      <c r="M340" s="64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6"/>
      <c r="J341" s="63"/>
      <c r="K341" s="63"/>
      <c r="L341" s="63"/>
      <c r="M341" s="64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6"/>
      <c r="J342" s="63"/>
      <c r="K342" s="63"/>
      <c r="L342" s="63"/>
      <c r="M342" s="64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6"/>
      <c r="J343" s="63"/>
      <c r="K343" s="63"/>
      <c r="L343" s="63"/>
      <c r="M343" s="64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6"/>
      <c r="J344" s="63"/>
      <c r="K344" s="63"/>
      <c r="L344" s="63"/>
      <c r="M344" s="64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6"/>
      <c r="J345" s="63"/>
      <c r="K345" s="63"/>
      <c r="L345" s="63"/>
      <c r="M345" s="64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6"/>
      <c r="J346" s="63"/>
      <c r="K346" s="63"/>
      <c r="L346" s="63"/>
      <c r="M346" s="64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6"/>
      <c r="J347" s="63"/>
      <c r="K347" s="63"/>
      <c r="L347" s="63"/>
      <c r="M347" s="64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6"/>
      <c r="J348" s="63"/>
      <c r="K348" s="63"/>
      <c r="L348" s="63"/>
      <c r="M348" s="64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6"/>
      <c r="J349" s="63"/>
      <c r="K349" s="63"/>
      <c r="L349" s="63"/>
      <c r="M349" s="64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6"/>
      <c r="J350" s="63"/>
      <c r="K350" s="63"/>
      <c r="L350" s="63"/>
      <c r="M350" s="64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6"/>
      <c r="J351" s="63"/>
      <c r="K351" s="63"/>
      <c r="L351" s="63"/>
      <c r="M351" s="64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6"/>
      <c r="J352" s="63"/>
      <c r="K352" s="63"/>
      <c r="L352" s="63"/>
      <c r="M352" s="64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6"/>
      <c r="J353" s="63"/>
      <c r="K353" s="63"/>
      <c r="L353" s="63"/>
      <c r="M353" s="64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6"/>
      <c r="J354" s="63"/>
      <c r="K354" s="63"/>
      <c r="L354" s="63"/>
      <c r="M354" s="64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6"/>
      <c r="J355" s="63"/>
      <c r="K355" s="63"/>
      <c r="L355" s="63"/>
      <c r="M355" s="64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6"/>
      <c r="J356" s="63"/>
      <c r="K356" s="63"/>
      <c r="L356" s="63"/>
      <c r="M356" s="64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6"/>
      <c r="J357" s="63"/>
      <c r="K357" s="63"/>
      <c r="L357" s="63"/>
      <c r="M357" s="64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6"/>
      <c r="J358" s="63"/>
      <c r="K358" s="63"/>
      <c r="L358" s="63"/>
      <c r="M358" s="64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6"/>
      <c r="J359" s="63"/>
      <c r="K359" s="63"/>
      <c r="L359" s="63"/>
      <c r="M359" s="64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6"/>
      <c r="J360" s="63"/>
      <c r="K360" s="63"/>
      <c r="L360" s="63"/>
      <c r="M360" s="64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6"/>
      <c r="J361" s="63"/>
      <c r="K361" s="63"/>
      <c r="L361" s="63"/>
      <c r="M361" s="64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6"/>
      <c r="J362" s="63"/>
      <c r="K362" s="63"/>
      <c r="L362" s="63"/>
      <c r="M362" s="64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6"/>
      <c r="J363" s="63"/>
      <c r="K363" s="63"/>
      <c r="L363" s="63"/>
      <c r="M363" s="64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6"/>
      <c r="J364" s="63"/>
      <c r="K364" s="63"/>
      <c r="L364" s="63"/>
      <c r="M364" s="64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6"/>
      <c r="J365" s="63"/>
      <c r="K365" s="63"/>
      <c r="L365" s="63"/>
      <c r="M365" s="64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6"/>
      <c r="J366" s="63"/>
      <c r="K366" s="63"/>
      <c r="L366" s="63"/>
      <c r="M366" s="64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6"/>
      <c r="J367" s="63"/>
      <c r="K367" s="63"/>
      <c r="L367" s="63"/>
      <c r="M367" s="64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6"/>
      <c r="J368" s="63"/>
      <c r="K368" s="63"/>
      <c r="L368" s="63"/>
      <c r="M368" s="64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6"/>
      <c r="J369" s="63"/>
      <c r="K369" s="63"/>
      <c r="L369" s="63"/>
      <c r="M369" s="64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6"/>
      <c r="J370" s="63"/>
      <c r="K370" s="63"/>
      <c r="L370" s="63"/>
      <c r="M370" s="64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6"/>
      <c r="J371" s="63"/>
      <c r="K371" s="63"/>
      <c r="L371" s="63"/>
      <c r="M371" s="64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6"/>
      <c r="J372" s="63"/>
      <c r="K372" s="63"/>
      <c r="L372" s="63"/>
      <c r="M372" s="64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6"/>
      <c r="J373" s="63"/>
      <c r="K373" s="63"/>
      <c r="L373" s="63"/>
      <c r="M373" s="64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6"/>
      <c r="J374" s="63"/>
      <c r="K374" s="63"/>
      <c r="L374" s="63"/>
      <c r="M374" s="64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6"/>
      <c r="J375" s="63"/>
      <c r="K375" s="63"/>
      <c r="L375" s="63"/>
      <c r="M375" s="64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6"/>
      <c r="J376" s="63"/>
      <c r="K376" s="63"/>
      <c r="L376" s="63"/>
      <c r="M376" s="64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6"/>
      <c r="J377" s="63"/>
      <c r="K377" s="63"/>
      <c r="L377" s="63"/>
      <c r="M377" s="64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6"/>
      <c r="J378" s="63"/>
      <c r="K378" s="63"/>
      <c r="L378" s="63"/>
      <c r="M378" s="64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6"/>
      <c r="J379" s="63"/>
      <c r="K379" s="63"/>
      <c r="L379" s="63"/>
      <c r="M379" s="64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6"/>
      <c r="J380" s="63"/>
      <c r="K380" s="63"/>
      <c r="L380" s="63"/>
      <c r="M380" s="64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6"/>
      <c r="J381" s="63"/>
      <c r="K381" s="63"/>
      <c r="L381" s="63"/>
      <c r="M381" s="64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6"/>
      <c r="J382" s="63"/>
      <c r="K382" s="63"/>
      <c r="L382" s="63"/>
      <c r="M382" s="64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6"/>
      <c r="J383" s="63"/>
      <c r="K383" s="63"/>
      <c r="L383" s="63"/>
      <c r="M383" s="64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6"/>
      <c r="J384" s="63"/>
      <c r="K384" s="63"/>
      <c r="L384" s="63"/>
      <c r="M384" s="64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6"/>
      <c r="J385" s="63"/>
      <c r="K385" s="63"/>
      <c r="L385" s="63"/>
      <c r="M385" s="64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6"/>
      <c r="J386" s="63"/>
      <c r="K386" s="63"/>
      <c r="L386" s="63"/>
      <c r="M386" s="64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6"/>
      <c r="J387" s="63"/>
      <c r="K387" s="63"/>
      <c r="L387" s="63"/>
      <c r="M387" s="64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6"/>
      <c r="J388" s="63"/>
      <c r="K388" s="63"/>
      <c r="L388" s="63"/>
      <c r="M388" s="64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6"/>
      <c r="J389" s="63"/>
      <c r="K389" s="63"/>
      <c r="L389" s="63"/>
      <c r="M389" s="64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6"/>
      <c r="J390" s="63"/>
      <c r="K390" s="63"/>
      <c r="L390" s="63"/>
      <c r="M390" s="64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6"/>
      <c r="J391" s="63"/>
      <c r="K391" s="63"/>
      <c r="L391" s="63"/>
      <c r="M391" s="64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6"/>
      <c r="J392" s="63"/>
      <c r="K392" s="63"/>
      <c r="L392" s="63"/>
      <c r="M392" s="64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6"/>
      <c r="J393" s="63"/>
      <c r="K393" s="63"/>
      <c r="L393" s="63"/>
      <c r="M393" s="64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6"/>
      <c r="J394" s="63"/>
      <c r="K394" s="63"/>
      <c r="L394" s="63"/>
      <c r="M394" s="64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6"/>
      <c r="J395" s="63"/>
      <c r="K395" s="63"/>
      <c r="L395" s="63"/>
      <c r="M395" s="64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6"/>
      <c r="J396" s="63"/>
      <c r="K396" s="63"/>
      <c r="L396" s="63"/>
      <c r="M396" s="64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6"/>
      <c r="J397" s="63"/>
      <c r="K397" s="63"/>
      <c r="L397" s="63"/>
      <c r="M397" s="64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6"/>
      <c r="J398" s="63"/>
      <c r="K398" s="63"/>
      <c r="L398" s="63"/>
      <c r="M398" s="64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6"/>
      <c r="J399" s="63"/>
      <c r="K399" s="63"/>
      <c r="L399" s="63"/>
      <c r="M399" s="64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6"/>
      <c r="J400" s="63"/>
      <c r="K400" s="63"/>
      <c r="L400" s="63"/>
      <c r="M400" s="64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6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6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6"/>
      <c r="J403" s="63"/>
      <c r="K403" s="63"/>
      <c r="L403" s="63"/>
      <c r="M403" s="64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6"/>
      <c r="J404" s="63"/>
      <c r="K404" s="63"/>
      <c r="L404" s="63"/>
      <c r="M404" s="64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6"/>
      <c r="J405" s="63"/>
      <c r="K405" s="63"/>
      <c r="L405" s="63"/>
      <c r="M405" s="64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6"/>
      <c r="J406" s="63"/>
      <c r="K406" s="63"/>
      <c r="L406" s="63"/>
      <c r="M406" s="64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6"/>
      <c r="J407" s="63"/>
      <c r="K407" s="63"/>
      <c r="L407" s="63"/>
      <c r="M407" s="64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6"/>
      <c r="J408" s="63"/>
      <c r="K408" s="63"/>
      <c r="L408" s="63"/>
      <c r="M408" s="64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6"/>
      <c r="J409" s="63"/>
      <c r="K409" s="63"/>
      <c r="L409" s="63"/>
      <c r="M409" s="64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6"/>
      <c r="J410" s="63"/>
      <c r="K410" s="63"/>
      <c r="L410" s="63"/>
      <c r="M410" s="64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6"/>
      <c r="J411" s="63"/>
      <c r="K411" s="63"/>
      <c r="L411" s="63"/>
      <c r="M411" s="64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6"/>
      <c r="J412" s="63"/>
      <c r="K412" s="63"/>
      <c r="L412" s="63"/>
      <c r="M412" s="64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6"/>
      <c r="J413" s="63"/>
      <c r="K413" s="63"/>
      <c r="L413" s="63"/>
      <c r="M413" s="64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6"/>
      <c r="J414" s="63"/>
      <c r="K414" s="63"/>
      <c r="L414" s="63"/>
      <c r="M414" s="64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6"/>
      <c r="J415" s="63"/>
      <c r="K415" s="63"/>
      <c r="L415" s="63"/>
      <c r="M415" s="64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6"/>
      <c r="J416" s="63"/>
      <c r="K416" s="63"/>
      <c r="L416" s="63"/>
      <c r="M416" s="64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6"/>
      <c r="J417" s="63"/>
      <c r="K417" s="63"/>
      <c r="L417" s="63"/>
      <c r="M417" s="64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6"/>
      <c r="J418" s="63"/>
      <c r="K418" s="63"/>
      <c r="L418" s="63"/>
      <c r="M418" s="64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6"/>
      <c r="J419" s="63"/>
      <c r="K419" s="63"/>
      <c r="L419" s="63"/>
      <c r="M419" s="64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6"/>
      <c r="J420" s="63"/>
      <c r="K420" s="63"/>
      <c r="L420" s="63"/>
      <c r="M420" s="64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6"/>
      <c r="J421" s="63"/>
      <c r="K421" s="63"/>
      <c r="L421" s="63"/>
      <c r="M421" s="64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6"/>
      <c r="J422" s="63"/>
      <c r="K422" s="63"/>
      <c r="L422" s="63"/>
      <c r="M422" s="64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6"/>
      <c r="J423" s="63"/>
      <c r="K423" s="63"/>
      <c r="L423" s="63"/>
      <c r="M423" s="64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6"/>
      <c r="J424" s="63"/>
      <c r="K424" s="63"/>
      <c r="L424" s="63"/>
      <c r="M424" s="64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6"/>
      <c r="J425" s="63"/>
      <c r="K425" s="63"/>
      <c r="L425" s="63"/>
      <c r="M425" s="64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6"/>
      <c r="J426" s="63"/>
      <c r="K426" s="63"/>
      <c r="L426" s="63"/>
      <c r="M426" s="64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6"/>
      <c r="J427" s="63"/>
      <c r="K427" s="63"/>
      <c r="L427" s="63"/>
      <c r="M427" s="64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6"/>
      <c r="J428" s="63"/>
      <c r="K428" s="63"/>
      <c r="L428" s="63"/>
      <c r="M428" s="64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6"/>
      <c r="J429" s="63"/>
      <c r="K429" s="63"/>
      <c r="L429" s="63"/>
      <c r="M429" s="64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6"/>
      <c r="J430" s="63"/>
      <c r="K430" s="63"/>
      <c r="L430" s="63"/>
      <c r="M430" s="64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6"/>
      <c r="J431" s="63"/>
      <c r="K431" s="63"/>
      <c r="L431" s="63"/>
      <c r="M431" s="64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6"/>
      <c r="J432" s="63"/>
      <c r="K432" s="63"/>
      <c r="L432" s="63"/>
      <c r="M432" s="64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6"/>
      <c r="J433" s="63"/>
      <c r="K433" s="63"/>
      <c r="L433" s="63"/>
      <c r="M433" s="64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6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6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6"/>
      <c r="J436" s="63"/>
      <c r="K436" s="63"/>
      <c r="L436" s="63"/>
      <c r="M436" s="64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6"/>
      <c r="J437" s="63"/>
      <c r="K437" s="63"/>
      <c r="L437" s="63"/>
      <c r="M437" s="64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6"/>
      <c r="J438" s="63"/>
      <c r="K438" s="63"/>
      <c r="L438" s="63"/>
      <c r="M438" s="64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6"/>
      <c r="J439" s="63"/>
      <c r="K439" s="63"/>
      <c r="L439" s="63"/>
      <c r="M439" s="64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6"/>
      <c r="J440" s="63"/>
      <c r="K440" s="63"/>
      <c r="L440" s="63"/>
      <c r="M440" s="64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6"/>
      <c r="J441" s="63"/>
      <c r="K441" s="63"/>
      <c r="L441" s="63"/>
      <c r="M441" s="64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6"/>
      <c r="J442" s="63"/>
      <c r="K442" s="63"/>
      <c r="L442" s="63"/>
      <c r="M442" s="64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6"/>
      <c r="J443" s="63"/>
      <c r="K443" s="63"/>
      <c r="L443" s="63"/>
      <c r="M443" s="64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6"/>
      <c r="J444" s="63"/>
      <c r="K444" s="63"/>
      <c r="L444" s="63"/>
      <c r="M444" s="64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6"/>
      <c r="J445" s="63"/>
      <c r="K445" s="63"/>
      <c r="L445" s="63"/>
      <c r="M445" s="64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6"/>
      <c r="J446" s="63"/>
      <c r="K446" s="63"/>
      <c r="L446" s="63"/>
      <c r="M446" s="64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6"/>
      <c r="J447" s="63"/>
      <c r="K447" s="63"/>
      <c r="L447" s="63"/>
      <c r="M447" s="64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6"/>
      <c r="J448" s="63"/>
      <c r="K448" s="63"/>
      <c r="L448" s="63"/>
      <c r="M448" s="64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6"/>
      <c r="J449" s="63"/>
      <c r="K449" s="63"/>
      <c r="L449" s="63"/>
      <c r="M449" s="64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6"/>
      <c r="J450" s="63"/>
      <c r="K450" s="63"/>
      <c r="L450" s="63"/>
      <c r="M450" s="64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6"/>
      <c r="J451" s="63"/>
      <c r="K451" s="63"/>
      <c r="L451" s="63"/>
      <c r="M451" s="64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6"/>
      <c r="J452" s="63"/>
      <c r="K452" s="63"/>
      <c r="L452" s="63"/>
      <c r="M452" s="64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6"/>
      <c r="J453" s="63"/>
      <c r="K453" s="63"/>
      <c r="L453" s="63"/>
      <c r="M453" s="64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6"/>
      <c r="J454" s="63"/>
      <c r="K454" s="63"/>
      <c r="L454" s="63"/>
      <c r="M454" s="64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6"/>
      <c r="J455" s="63"/>
      <c r="K455" s="63"/>
      <c r="L455" s="63"/>
      <c r="M455" s="64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6"/>
      <c r="J456" s="63"/>
      <c r="K456" s="63"/>
      <c r="L456" s="63"/>
      <c r="M456" s="64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6"/>
      <c r="J457" s="63"/>
      <c r="K457" s="63"/>
      <c r="L457" s="63"/>
      <c r="M457" s="64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6"/>
      <c r="J458" s="63"/>
      <c r="K458" s="63"/>
      <c r="L458" s="63"/>
      <c r="M458" s="64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6"/>
      <c r="J459" s="63"/>
      <c r="K459" s="63"/>
      <c r="L459" s="63"/>
      <c r="M459" s="64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6"/>
      <c r="J460" s="63"/>
      <c r="K460" s="63"/>
      <c r="L460" s="63"/>
      <c r="M460" s="64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6"/>
      <c r="J461" s="63"/>
      <c r="K461" s="63"/>
      <c r="L461" s="63"/>
      <c r="M461" s="64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6"/>
      <c r="J462" s="63"/>
      <c r="K462" s="63"/>
      <c r="L462" s="63"/>
      <c r="M462" s="64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6"/>
      <c r="J463" s="63"/>
      <c r="K463" s="63"/>
      <c r="L463" s="63"/>
      <c r="M463" s="64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6"/>
      <c r="J464" s="63"/>
      <c r="K464" s="63"/>
      <c r="L464" s="63"/>
      <c r="M464" s="64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6"/>
      <c r="J465" s="63"/>
      <c r="K465" s="63"/>
      <c r="L465" s="63"/>
      <c r="M465" s="64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6"/>
      <c r="J466" s="63"/>
      <c r="K466" s="63"/>
      <c r="L466" s="63"/>
      <c r="M466" s="64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6"/>
      <c r="J467" s="63"/>
      <c r="K467" s="63"/>
      <c r="L467" s="63"/>
      <c r="M467" s="64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6"/>
      <c r="J468" s="63"/>
      <c r="K468" s="63"/>
      <c r="L468" s="63"/>
      <c r="M468" s="64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6"/>
      <c r="J469" s="63"/>
      <c r="K469" s="63"/>
      <c r="L469" s="63"/>
      <c r="M469" s="64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6"/>
      <c r="J470" s="63"/>
      <c r="K470" s="63"/>
      <c r="L470" s="63"/>
      <c r="M470" s="64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6"/>
      <c r="J471" s="63"/>
      <c r="K471" s="63"/>
      <c r="L471" s="63"/>
      <c r="M471" s="64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6"/>
      <c r="J472" s="63"/>
      <c r="K472" s="63"/>
      <c r="L472" s="63"/>
      <c r="M472" s="64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6"/>
      <c r="J473" s="63"/>
      <c r="K473" s="63"/>
      <c r="L473" s="63"/>
      <c r="M473" s="64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6"/>
      <c r="J474" s="63"/>
      <c r="K474" s="63"/>
      <c r="L474" s="63"/>
      <c r="M474" s="64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6"/>
      <c r="J475" s="63"/>
      <c r="K475" s="63"/>
      <c r="L475" s="63"/>
      <c r="M475" s="64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6"/>
      <c r="J476" s="63"/>
      <c r="K476" s="63"/>
      <c r="L476" s="63"/>
      <c r="M476" s="64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6"/>
      <c r="J477" s="63"/>
      <c r="K477" s="63"/>
      <c r="L477" s="63"/>
      <c r="M477" s="64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6"/>
      <c r="J478" s="63"/>
      <c r="K478" s="63"/>
      <c r="L478" s="63"/>
      <c r="M478" s="64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6"/>
      <c r="J479" s="63"/>
      <c r="K479" s="63"/>
      <c r="L479" s="63"/>
      <c r="M479" s="64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6"/>
      <c r="J480" s="63"/>
      <c r="K480" s="63"/>
      <c r="L480" s="63"/>
      <c r="M480" s="64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6"/>
      <c r="J481" s="63"/>
      <c r="K481" s="63"/>
      <c r="L481" s="63"/>
      <c r="M481" s="64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6"/>
      <c r="J482" s="63"/>
      <c r="K482" s="63"/>
      <c r="L482" s="63"/>
      <c r="M482" s="64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6"/>
      <c r="J483" s="63"/>
      <c r="K483" s="63"/>
      <c r="L483" s="63"/>
      <c r="M483" s="64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6"/>
      <c r="J484" s="63"/>
      <c r="K484" s="63"/>
      <c r="L484" s="63"/>
      <c r="M484" s="64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6"/>
      <c r="J485" s="63"/>
      <c r="K485" s="63"/>
      <c r="L485" s="63"/>
      <c r="M485" s="64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6"/>
      <c r="J486" s="63"/>
      <c r="K486" s="63"/>
      <c r="L486" s="63"/>
      <c r="M486" s="64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6"/>
      <c r="J487" s="63"/>
      <c r="K487" s="63"/>
      <c r="L487" s="63"/>
      <c r="M487" s="64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6"/>
      <c r="J488" s="63"/>
      <c r="K488" s="63"/>
      <c r="L488" s="63"/>
      <c r="M488" s="64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6"/>
      <c r="J489" s="63"/>
      <c r="K489" s="63"/>
      <c r="L489" s="63"/>
      <c r="M489" s="64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6"/>
      <c r="J490" s="63"/>
      <c r="K490" s="63"/>
      <c r="L490" s="63"/>
      <c r="M490" s="64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6"/>
      <c r="J491" s="63"/>
      <c r="K491" s="63"/>
      <c r="L491" s="63"/>
      <c r="M491" s="64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6"/>
      <c r="J492" s="63"/>
      <c r="K492" s="63"/>
      <c r="L492" s="63"/>
      <c r="M492" s="64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6"/>
      <c r="J493" s="63"/>
      <c r="K493" s="63"/>
      <c r="L493" s="63"/>
      <c r="M493" s="64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6"/>
      <c r="J494" s="63"/>
      <c r="K494" s="63"/>
      <c r="L494" s="63"/>
      <c r="M494" s="64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6"/>
      <c r="J495" s="63"/>
      <c r="K495" s="63"/>
      <c r="L495" s="63"/>
      <c r="M495" s="64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6"/>
      <c r="J496" s="63"/>
      <c r="K496" s="63"/>
      <c r="L496" s="63"/>
      <c r="M496" s="64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6"/>
      <c r="J497" s="63"/>
      <c r="K497" s="63"/>
      <c r="L497" s="63"/>
      <c r="M497" s="64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6"/>
      <c r="J498" s="63"/>
      <c r="K498" s="63"/>
      <c r="L498" s="63"/>
      <c r="M498" s="64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6"/>
      <c r="J499" s="63"/>
      <c r="K499" s="63"/>
      <c r="L499" s="63"/>
      <c r="M499" s="64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6"/>
      <c r="J500" s="63"/>
      <c r="K500" s="63"/>
      <c r="L500" s="63"/>
      <c r="M500" s="64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6"/>
      <c r="J501" s="63"/>
      <c r="K501" s="63"/>
      <c r="L501" s="63"/>
      <c r="M501" s="64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6"/>
      <c r="J502" s="63"/>
      <c r="K502" s="63"/>
      <c r="L502" s="63"/>
      <c r="M502" s="64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6"/>
      <c r="J503" s="63"/>
      <c r="K503" s="63"/>
      <c r="L503" s="63"/>
      <c r="M503" s="64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6"/>
      <c r="J504" s="63"/>
      <c r="K504" s="63"/>
      <c r="L504" s="63"/>
      <c r="M504" s="64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6"/>
      <c r="J505" s="63"/>
      <c r="K505" s="63"/>
      <c r="L505" s="63"/>
      <c r="M505" s="64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6"/>
      <c r="J506" s="63"/>
      <c r="K506" s="63"/>
      <c r="L506" s="63"/>
      <c r="M506" s="64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6"/>
      <c r="J507" s="63"/>
      <c r="K507" s="63"/>
      <c r="L507" s="63"/>
      <c r="M507" s="64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6"/>
      <c r="J508" s="63"/>
      <c r="K508" s="63"/>
      <c r="L508" s="63"/>
      <c r="M508" s="64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6"/>
      <c r="J509" s="63"/>
      <c r="K509" s="63"/>
      <c r="L509" s="63"/>
      <c r="M509" s="64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6"/>
      <c r="J510" s="63"/>
      <c r="K510" s="63"/>
      <c r="L510" s="63"/>
      <c r="M510" s="64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6"/>
      <c r="J511" s="63"/>
      <c r="K511" s="63"/>
      <c r="L511" s="63"/>
      <c r="M511" s="64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6"/>
      <c r="J512" s="63"/>
      <c r="K512" s="63"/>
      <c r="L512" s="63"/>
      <c r="M512" s="64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6"/>
      <c r="J513" s="63"/>
      <c r="K513" s="63"/>
      <c r="L513" s="63"/>
      <c r="M513" s="64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6"/>
      <c r="J514" s="63"/>
      <c r="K514" s="63"/>
      <c r="L514" s="63"/>
      <c r="M514" s="64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6"/>
      <c r="J515" s="63"/>
      <c r="K515" s="63"/>
      <c r="L515" s="63"/>
      <c r="M515" s="64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6"/>
      <c r="J516" s="63"/>
      <c r="K516" s="63"/>
      <c r="L516" s="63"/>
      <c r="M516" s="64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6"/>
      <c r="J517" s="63"/>
      <c r="K517" s="63"/>
      <c r="L517" s="63"/>
      <c r="M517" s="64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6"/>
      <c r="J518" s="63"/>
      <c r="K518" s="63"/>
      <c r="L518" s="63"/>
      <c r="M518" s="64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6"/>
      <c r="J519" s="63"/>
      <c r="K519" s="63"/>
      <c r="L519" s="63"/>
      <c r="M519" s="64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6"/>
      <c r="J520" s="63"/>
      <c r="K520" s="63"/>
      <c r="L520" s="63"/>
      <c r="M520" s="64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6"/>
      <c r="J521" s="63"/>
      <c r="K521" s="63"/>
      <c r="L521" s="63"/>
      <c r="M521" s="64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6"/>
      <c r="J522" s="63"/>
      <c r="K522" s="63"/>
      <c r="L522" s="63"/>
      <c r="M522" s="64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6"/>
      <c r="J523" s="63"/>
      <c r="K523" s="63"/>
      <c r="L523" s="63"/>
      <c r="M523" s="64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6"/>
      <c r="J524" s="63"/>
      <c r="K524" s="63"/>
      <c r="L524" s="63"/>
      <c r="M524" s="64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6"/>
      <c r="J525" s="63"/>
      <c r="K525" s="63"/>
      <c r="L525" s="63"/>
      <c r="M525" s="64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6"/>
      <c r="J526" s="63"/>
      <c r="K526" s="63"/>
      <c r="L526" s="63"/>
      <c r="M526" s="64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6"/>
      <c r="J527" s="63"/>
      <c r="K527" s="63"/>
      <c r="L527" s="63"/>
      <c r="M527" s="64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6"/>
      <c r="J528" s="63"/>
      <c r="K528" s="63"/>
      <c r="L528" s="63"/>
      <c r="M528" s="64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6"/>
      <c r="J529" s="63"/>
      <c r="K529" s="63"/>
      <c r="L529" s="63"/>
      <c r="M529" s="64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6"/>
      <c r="J530" s="63"/>
      <c r="K530" s="63"/>
      <c r="L530" s="63"/>
      <c r="M530" s="64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6"/>
      <c r="J531" s="63"/>
      <c r="K531" s="63"/>
      <c r="L531" s="63"/>
      <c r="M531" s="64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6"/>
      <c r="J532" s="63"/>
      <c r="K532" s="63"/>
      <c r="L532" s="63"/>
      <c r="M532" s="64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6"/>
      <c r="J533" s="63"/>
      <c r="K533" s="63"/>
      <c r="L533" s="63"/>
      <c r="M533" s="64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6"/>
      <c r="J534" s="63"/>
      <c r="K534" s="63"/>
      <c r="L534" s="63"/>
      <c r="M534" s="64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6"/>
      <c r="J535" s="63"/>
      <c r="K535" s="63"/>
      <c r="L535" s="63"/>
      <c r="M535" s="64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6"/>
      <c r="J536" s="63"/>
      <c r="K536" s="63"/>
      <c r="L536" s="63"/>
      <c r="M536" s="64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6"/>
      <c r="J537" s="63"/>
      <c r="K537" s="63"/>
      <c r="L537" s="63"/>
      <c r="M537" s="64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6"/>
      <c r="J538" s="63"/>
      <c r="K538" s="63"/>
      <c r="L538" s="63"/>
      <c r="M538" s="64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6"/>
      <c r="J539" s="63"/>
      <c r="K539" s="63"/>
      <c r="L539" s="63"/>
      <c r="M539" s="64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6"/>
      <c r="J540" s="63"/>
      <c r="K540" s="63"/>
      <c r="L540" s="63"/>
      <c r="M540" s="64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6"/>
      <c r="J541" s="63"/>
      <c r="K541" s="63"/>
      <c r="L541" s="63"/>
      <c r="M541" s="64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6"/>
      <c r="J542" s="63"/>
      <c r="K542" s="63"/>
      <c r="L542" s="63"/>
      <c r="M542" s="64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6"/>
      <c r="J543" s="63"/>
      <c r="K543" s="63"/>
      <c r="L543" s="63"/>
      <c r="M543" s="64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6"/>
      <c r="J544" s="63"/>
      <c r="K544" s="63"/>
      <c r="L544" s="63"/>
      <c r="M544" s="64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6"/>
      <c r="J545" s="63"/>
      <c r="K545" s="63"/>
      <c r="L545" s="63"/>
      <c r="M545" s="64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6"/>
      <c r="J546" s="63"/>
      <c r="K546" s="63"/>
      <c r="L546" s="63"/>
      <c r="M546" s="64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6"/>
      <c r="J547" s="63"/>
      <c r="K547" s="63"/>
      <c r="L547" s="63"/>
      <c r="M547" s="64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6"/>
      <c r="J548" s="63"/>
      <c r="K548" s="63"/>
      <c r="L548" s="63"/>
      <c r="M548" s="64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6"/>
      <c r="J549" s="63"/>
      <c r="K549" s="63"/>
      <c r="L549" s="63"/>
      <c r="M549" s="64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6"/>
      <c r="J550" s="63"/>
      <c r="K550" s="63"/>
      <c r="L550" s="63"/>
      <c r="M550" s="64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6"/>
      <c r="J551" s="63"/>
      <c r="K551" s="63"/>
      <c r="L551" s="63"/>
      <c r="M551" s="64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6"/>
      <c r="J552" s="63"/>
      <c r="K552" s="63"/>
      <c r="L552" s="63"/>
      <c r="M552" s="64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6"/>
      <c r="J553" s="63"/>
      <c r="K553" s="63"/>
      <c r="L553" s="63"/>
      <c r="M553" s="64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6"/>
      <c r="J554" s="63"/>
      <c r="K554" s="63"/>
      <c r="L554" s="63"/>
      <c r="M554" s="64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6"/>
      <c r="J555" s="63"/>
      <c r="K555" s="63"/>
      <c r="L555" s="63"/>
      <c r="M555" s="64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6"/>
      <c r="J556" s="63"/>
      <c r="K556" s="63"/>
      <c r="L556" s="63"/>
      <c r="M556" s="64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6"/>
      <c r="J557" s="63"/>
      <c r="K557" s="63"/>
      <c r="L557" s="63"/>
      <c r="M557" s="64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6"/>
      <c r="J558" s="63"/>
      <c r="K558" s="63"/>
      <c r="L558" s="63"/>
      <c r="M558" s="64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6"/>
      <c r="J559" s="63"/>
      <c r="K559" s="63"/>
      <c r="L559" s="63"/>
      <c r="M559" s="64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6"/>
      <c r="J560" s="63"/>
      <c r="K560" s="63"/>
      <c r="L560" s="63"/>
      <c r="M560" s="64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6"/>
      <c r="J561" s="63"/>
      <c r="K561" s="63"/>
      <c r="L561" s="63"/>
      <c r="M561" s="64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6"/>
      <c r="J562" s="63"/>
      <c r="K562" s="63"/>
      <c r="L562" s="63"/>
      <c r="M562" s="64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6"/>
      <c r="J563" s="63"/>
      <c r="K563" s="63"/>
      <c r="L563" s="63"/>
      <c r="M563" s="64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6"/>
      <c r="J564" s="63"/>
      <c r="K564" s="63"/>
      <c r="L564" s="63"/>
      <c r="M564" s="64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6"/>
      <c r="J565" s="63"/>
      <c r="K565" s="63"/>
      <c r="L565" s="63"/>
      <c r="M565" s="64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6"/>
      <c r="J566" s="63"/>
      <c r="K566" s="63"/>
      <c r="L566" s="63"/>
      <c r="M566" s="64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6"/>
      <c r="J567" s="63"/>
      <c r="K567" s="63"/>
      <c r="L567" s="63"/>
      <c r="M567" s="64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6"/>
      <c r="J568" s="63"/>
      <c r="K568" s="63"/>
      <c r="L568" s="63"/>
      <c r="M568" s="64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6"/>
      <c r="J569" s="63"/>
      <c r="K569" s="63"/>
      <c r="L569" s="63"/>
      <c r="M569" s="64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6"/>
      <c r="J570" s="63"/>
      <c r="K570" s="63"/>
      <c r="L570" s="63"/>
      <c r="M570" s="64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6"/>
      <c r="J571" s="63"/>
      <c r="K571" s="63"/>
      <c r="L571" s="63"/>
      <c r="M571" s="64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6"/>
      <c r="J572" s="63"/>
      <c r="K572" s="63"/>
      <c r="L572" s="63"/>
      <c r="M572" s="64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6"/>
      <c r="J573" s="63"/>
      <c r="K573" s="63"/>
      <c r="L573" s="63"/>
      <c r="M573" s="64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6"/>
      <c r="J574" s="63"/>
      <c r="K574" s="63"/>
      <c r="L574" s="63"/>
      <c r="M574" s="64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6"/>
      <c r="J575" s="63"/>
      <c r="K575" s="63"/>
      <c r="L575" s="63"/>
      <c r="M575" s="64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6"/>
      <c r="J576" s="63"/>
      <c r="K576" s="63"/>
      <c r="L576" s="63"/>
      <c r="M576" s="64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6"/>
      <c r="J577" s="63"/>
      <c r="K577" s="63"/>
      <c r="L577" s="63"/>
      <c r="M577" s="64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6"/>
      <c r="J578" s="63"/>
      <c r="K578" s="63"/>
      <c r="L578" s="63"/>
      <c r="M578" s="64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6"/>
      <c r="J579" s="63"/>
      <c r="K579" s="63"/>
      <c r="L579" s="63"/>
      <c r="M579" s="64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6"/>
      <c r="J580" s="63"/>
      <c r="K580" s="63"/>
      <c r="L580" s="63"/>
      <c r="M580" s="64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6"/>
      <c r="J581" s="63"/>
      <c r="K581" s="63"/>
      <c r="L581" s="63"/>
      <c r="M581" s="64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6"/>
      <c r="J582" s="63"/>
      <c r="K582" s="63"/>
      <c r="L582" s="63"/>
      <c r="M582" s="64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6"/>
      <c r="J583" s="63"/>
      <c r="K583" s="63"/>
      <c r="L583" s="63"/>
      <c r="M583" s="64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6"/>
      <c r="J584" s="63"/>
      <c r="K584" s="63"/>
      <c r="L584" s="63"/>
      <c r="M584" s="64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6"/>
      <c r="J585" s="63"/>
      <c r="K585" s="63"/>
      <c r="L585" s="63"/>
      <c r="M585" s="64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6"/>
      <c r="J586" s="63"/>
      <c r="K586" s="63"/>
      <c r="L586" s="63"/>
      <c r="M586" s="64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6"/>
      <c r="J587" s="63"/>
      <c r="K587" s="63"/>
      <c r="L587" s="63"/>
      <c r="M587" s="64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6"/>
      <c r="J588" s="63"/>
      <c r="K588" s="63"/>
      <c r="L588" s="63"/>
      <c r="M588" s="64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6"/>
      <c r="J589" s="63"/>
      <c r="K589" s="63"/>
      <c r="L589" s="63"/>
      <c r="M589" s="64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6"/>
      <c r="J590" s="63"/>
      <c r="K590" s="63"/>
      <c r="L590" s="63"/>
      <c r="M590" s="64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6"/>
      <c r="J591" s="63"/>
      <c r="K591" s="63"/>
      <c r="L591" s="63"/>
      <c r="M591" s="64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6"/>
      <c r="J592" s="63"/>
      <c r="K592" s="63"/>
      <c r="L592" s="63"/>
      <c r="M592" s="64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6"/>
      <c r="J593" s="63"/>
      <c r="K593" s="63"/>
      <c r="L593" s="63"/>
      <c r="M593" s="64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6"/>
      <c r="J594" s="63"/>
      <c r="K594" s="63"/>
      <c r="L594" s="63"/>
      <c r="M594" s="64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6"/>
      <c r="J595" s="63"/>
      <c r="K595" s="63"/>
      <c r="L595" s="63"/>
      <c r="M595" s="64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6"/>
      <c r="J596" s="63"/>
      <c r="K596" s="63"/>
      <c r="L596" s="63"/>
      <c r="M596" s="64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6"/>
      <c r="J597" s="63"/>
      <c r="K597" s="63"/>
      <c r="L597" s="63"/>
      <c r="M597" s="64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6"/>
      <c r="J598" s="63"/>
      <c r="K598" s="63"/>
      <c r="L598" s="63"/>
      <c r="M598" s="64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6"/>
      <c r="J599" s="63"/>
      <c r="K599" s="63"/>
      <c r="L599" s="63"/>
      <c r="M599" s="64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6"/>
      <c r="J600" s="63"/>
      <c r="K600" s="63"/>
      <c r="L600" s="63"/>
      <c r="M600" s="64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6"/>
      <c r="J601" s="63"/>
      <c r="K601" s="63"/>
      <c r="L601" s="63"/>
      <c r="M601" s="64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6"/>
      <c r="J602" s="63"/>
      <c r="K602" s="63"/>
      <c r="L602" s="63"/>
      <c r="M602" s="64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6"/>
      <c r="J603" s="63"/>
      <c r="K603" s="63"/>
      <c r="L603" s="63"/>
      <c r="M603" s="64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6"/>
      <c r="J604" s="63"/>
      <c r="K604" s="63"/>
      <c r="L604" s="63"/>
      <c r="M604" s="64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6"/>
      <c r="J605" s="63"/>
      <c r="K605" s="63"/>
      <c r="L605" s="63"/>
      <c r="M605" s="64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6"/>
      <c r="J606" s="63"/>
      <c r="K606" s="63"/>
      <c r="L606" s="63"/>
      <c r="M606" s="64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6"/>
      <c r="J607" s="63"/>
      <c r="K607" s="63"/>
      <c r="L607" s="63"/>
      <c r="M607" s="64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6"/>
      <c r="J608" s="63"/>
      <c r="K608" s="63"/>
      <c r="L608" s="63"/>
      <c r="M608" s="64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6"/>
      <c r="J609" s="63"/>
      <c r="K609" s="63"/>
      <c r="L609" s="63"/>
      <c r="M609" s="64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6"/>
      <c r="J610" s="63"/>
      <c r="K610" s="63"/>
      <c r="L610" s="63"/>
      <c r="M610" s="64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6"/>
      <c r="J611" s="63"/>
      <c r="K611" s="63"/>
      <c r="L611" s="63"/>
      <c r="M611" s="64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6"/>
      <c r="J612" s="63"/>
      <c r="K612" s="63"/>
      <c r="L612" s="63"/>
      <c r="M612" s="64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6"/>
      <c r="J613" s="63"/>
      <c r="K613" s="63"/>
      <c r="L613" s="63"/>
      <c r="M613" s="64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6"/>
      <c r="J614" s="63"/>
      <c r="K614" s="63"/>
      <c r="L614" s="63"/>
      <c r="M614" s="64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6"/>
      <c r="J615" s="63"/>
      <c r="K615" s="63"/>
      <c r="L615" s="63"/>
      <c r="M615" s="64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6"/>
      <c r="J616" s="63"/>
      <c r="K616" s="63"/>
      <c r="L616" s="63"/>
      <c r="M616" s="64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6"/>
      <c r="J617" s="63"/>
      <c r="K617" s="63"/>
      <c r="L617" s="63"/>
      <c r="M617" s="64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6"/>
      <c r="J618" s="63"/>
      <c r="K618" s="63"/>
      <c r="L618" s="63"/>
      <c r="M618" s="64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6"/>
      <c r="J619" s="63"/>
      <c r="K619" s="63"/>
      <c r="L619" s="63"/>
      <c r="M619" s="64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6"/>
      <c r="J620" s="63"/>
      <c r="K620" s="63"/>
      <c r="L620" s="63"/>
      <c r="M620" s="64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6"/>
      <c r="J621" s="63"/>
      <c r="K621" s="63"/>
      <c r="L621" s="63"/>
      <c r="M621" s="64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6"/>
      <c r="J622" s="63"/>
      <c r="K622" s="63"/>
      <c r="L622" s="63"/>
      <c r="M622" s="64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6"/>
      <c r="J623" s="63"/>
      <c r="K623" s="63"/>
      <c r="L623" s="63"/>
      <c r="M623" s="64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6"/>
      <c r="J624" s="63"/>
      <c r="K624" s="63"/>
      <c r="L624" s="63"/>
      <c r="M624" s="64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6"/>
      <c r="J625" s="63"/>
      <c r="K625" s="63"/>
      <c r="L625" s="63"/>
      <c r="M625" s="64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6"/>
      <c r="J626" s="63"/>
      <c r="K626" s="63"/>
      <c r="L626" s="63"/>
      <c r="M626" s="64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6"/>
      <c r="J627" s="63"/>
      <c r="K627" s="63"/>
      <c r="L627" s="63"/>
      <c r="M627" s="64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6"/>
      <c r="J628" s="63"/>
      <c r="K628" s="63"/>
      <c r="L628" s="63"/>
      <c r="M628" s="64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6"/>
      <c r="J629" s="63"/>
      <c r="K629" s="63"/>
      <c r="L629" s="63"/>
      <c r="M629" s="64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6"/>
      <c r="J630" s="63"/>
      <c r="K630" s="63"/>
      <c r="L630" s="63"/>
      <c r="M630" s="64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6"/>
      <c r="J631" s="63"/>
      <c r="K631" s="63"/>
      <c r="L631" s="63"/>
      <c r="M631" s="64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6"/>
      <c r="J632" s="63"/>
      <c r="K632" s="63"/>
      <c r="L632" s="63"/>
      <c r="M632" s="64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6"/>
      <c r="J633" s="63"/>
      <c r="K633" s="63"/>
      <c r="L633" s="63"/>
      <c r="M633" s="64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6"/>
      <c r="J634" s="63"/>
      <c r="K634" s="63"/>
      <c r="L634" s="63"/>
      <c r="M634" s="64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6"/>
      <c r="J635" s="63"/>
      <c r="K635" s="63"/>
      <c r="L635" s="63"/>
      <c r="M635" s="64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6"/>
      <c r="J636" s="63"/>
      <c r="K636" s="63"/>
      <c r="L636" s="63"/>
      <c r="M636" s="64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6"/>
      <c r="J637" s="63"/>
      <c r="K637" s="63"/>
      <c r="L637" s="63"/>
      <c r="M637" s="64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6"/>
      <c r="J638" s="63"/>
      <c r="K638" s="63"/>
      <c r="L638" s="63"/>
      <c r="M638" s="64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6"/>
      <c r="J639" s="63"/>
      <c r="K639" s="63"/>
      <c r="L639" s="63"/>
      <c r="M639" s="64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6"/>
      <c r="J640" s="63"/>
      <c r="K640" s="63"/>
      <c r="L640" s="63"/>
      <c r="M640" s="64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6"/>
      <c r="J641" s="63"/>
      <c r="K641" s="63"/>
      <c r="L641" s="63"/>
      <c r="M641" s="64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6"/>
      <c r="J642" s="63"/>
      <c r="K642" s="63"/>
      <c r="L642" s="63"/>
      <c r="M642" s="64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6"/>
      <c r="J643" s="63"/>
      <c r="K643" s="63"/>
      <c r="L643" s="63"/>
      <c r="M643" s="64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6"/>
      <c r="J644" s="63"/>
      <c r="K644" s="63"/>
      <c r="L644" s="63"/>
      <c r="M644" s="64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6"/>
      <c r="J645" s="63"/>
      <c r="K645" s="63"/>
      <c r="L645" s="63"/>
      <c r="M645" s="64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6"/>
      <c r="J646" s="63"/>
      <c r="K646" s="63"/>
      <c r="L646" s="63"/>
      <c r="M646" s="64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6"/>
      <c r="J647" s="63"/>
      <c r="K647" s="63"/>
      <c r="L647" s="63"/>
      <c r="M647" s="64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6"/>
      <c r="J648" s="63"/>
      <c r="K648" s="63"/>
      <c r="L648" s="63"/>
      <c r="M648" s="64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6"/>
      <c r="J649" s="63"/>
      <c r="K649" s="63"/>
      <c r="L649" s="63"/>
      <c r="M649" s="64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6"/>
      <c r="J650" s="63"/>
      <c r="K650" s="63"/>
      <c r="L650" s="63"/>
      <c r="M650" s="64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6"/>
      <c r="J651" s="63"/>
      <c r="K651" s="63"/>
      <c r="L651" s="63"/>
      <c r="M651" s="64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6"/>
      <c r="J652" s="63"/>
      <c r="K652" s="63"/>
      <c r="L652" s="63"/>
      <c r="M652" s="64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6"/>
      <c r="J653" s="63"/>
      <c r="K653" s="63"/>
      <c r="L653" s="63"/>
      <c r="M653" s="64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6"/>
      <c r="J654" s="63"/>
      <c r="K654" s="63"/>
      <c r="L654" s="63"/>
      <c r="M654" s="64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6"/>
      <c r="J655" s="63"/>
      <c r="K655" s="63"/>
      <c r="L655" s="63"/>
      <c r="M655" s="64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6"/>
      <c r="J656" s="63"/>
      <c r="K656" s="63"/>
      <c r="L656" s="63"/>
      <c r="M656" s="64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6"/>
      <c r="J657" s="63"/>
      <c r="K657" s="63"/>
      <c r="L657" s="63"/>
      <c r="M657" s="64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6"/>
      <c r="J658" s="63"/>
      <c r="K658" s="63"/>
      <c r="L658" s="63"/>
      <c r="M658" s="64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6"/>
      <c r="J659" s="63"/>
      <c r="K659" s="63"/>
      <c r="L659" s="63"/>
      <c r="M659" s="64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6"/>
      <c r="J660" s="63"/>
      <c r="K660" s="63"/>
      <c r="L660" s="63"/>
      <c r="M660" s="64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6"/>
      <c r="J661" s="63"/>
      <c r="K661" s="63"/>
      <c r="L661" s="63"/>
      <c r="M661" s="64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6"/>
      <c r="J662" s="63"/>
      <c r="K662" s="63"/>
      <c r="L662" s="63"/>
      <c r="M662" s="64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6"/>
      <c r="J663" s="63"/>
      <c r="K663" s="63"/>
      <c r="L663" s="63"/>
      <c r="M663" s="64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6"/>
      <c r="J664" s="63"/>
      <c r="K664" s="63"/>
      <c r="L664" s="63"/>
      <c r="M664" s="64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6"/>
      <c r="J665" s="63"/>
      <c r="K665" s="63"/>
      <c r="L665" s="63"/>
      <c r="M665" s="64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6"/>
      <c r="J666" s="63"/>
      <c r="K666" s="63"/>
      <c r="L666" s="63"/>
      <c r="M666" s="64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6"/>
      <c r="J667" s="63"/>
      <c r="K667" s="63"/>
      <c r="L667" s="63"/>
      <c r="M667" s="64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6"/>
      <c r="J668" s="63"/>
      <c r="K668" s="63"/>
      <c r="L668" s="63"/>
      <c r="M668" s="64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6"/>
      <c r="J669" s="63"/>
      <c r="K669" s="63"/>
      <c r="L669" s="63"/>
      <c r="M669" s="64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6"/>
      <c r="J670" s="63"/>
      <c r="K670" s="63"/>
      <c r="L670" s="63"/>
      <c r="M670" s="64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6"/>
      <c r="J671" s="63"/>
      <c r="K671" s="63"/>
      <c r="L671" s="63"/>
      <c r="M671" s="64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6"/>
      <c r="J672" s="63"/>
      <c r="K672" s="63"/>
      <c r="L672" s="63"/>
      <c r="M672" s="64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6"/>
      <c r="J673" s="63"/>
      <c r="K673" s="63"/>
      <c r="L673" s="63"/>
      <c r="M673" s="64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6"/>
      <c r="J674" s="63"/>
      <c r="K674" s="63"/>
      <c r="L674" s="63"/>
      <c r="M674" s="64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6"/>
      <c r="J675" s="63"/>
      <c r="K675" s="63"/>
      <c r="L675" s="63"/>
      <c r="M675" s="64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6"/>
      <c r="J676" s="63"/>
      <c r="K676" s="63"/>
      <c r="L676" s="63"/>
      <c r="M676" s="64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6"/>
      <c r="J677" s="63"/>
      <c r="K677" s="63"/>
      <c r="L677" s="63"/>
      <c r="M677" s="64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6"/>
      <c r="J678" s="63"/>
      <c r="K678" s="63"/>
      <c r="L678" s="63"/>
      <c r="M678" s="64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6"/>
      <c r="J679" s="63"/>
      <c r="K679" s="63"/>
      <c r="L679" s="63"/>
      <c r="M679" s="64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6"/>
      <c r="J680" s="63"/>
      <c r="K680" s="63"/>
      <c r="L680" s="63"/>
      <c r="M680" s="64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6"/>
      <c r="J681" s="63"/>
      <c r="K681" s="63"/>
      <c r="L681" s="63"/>
      <c r="M681" s="64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6"/>
      <c r="J682" s="63"/>
      <c r="K682" s="63"/>
      <c r="L682" s="63"/>
      <c r="M682" s="64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6"/>
      <c r="J683" s="63"/>
      <c r="K683" s="63"/>
      <c r="L683" s="63"/>
      <c r="M683" s="64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6"/>
      <c r="J684" s="63"/>
      <c r="K684" s="63"/>
      <c r="L684" s="63"/>
      <c r="M684" s="64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6"/>
      <c r="J685" s="63"/>
      <c r="K685" s="63"/>
      <c r="L685" s="63"/>
      <c r="M685" s="64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6"/>
      <c r="J686" s="63"/>
      <c r="K686" s="63"/>
      <c r="L686" s="63"/>
      <c r="M686" s="64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6"/>
      <c r="J687" s="63"/>
      <c r="K687" s="63"/>
      <c r="L687" s="63"/>
      <c r="M687" s="64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6"/>
      <c r="J688" s="63"/>
      <c r="K688" s="63"/>
      <c r="L688" s="63"/>
      <c r="M688" s="64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6"/>
      <c r="J689" s="63"/>
      <c r="K689" s="63"/>
      <c r="L689" s="63"/>
      <c r="M689" s="64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6"/>
      <c r="J690" s="63"/>
      <c r="K690" s="63"/>
      <c r="L690" s="63"/>
      <c r="M690" s="64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6"/>
      <c r="J691" s="63"/>
      <c r="K691" s="63"/>
      <c r="L691" s="63"/>
      <c r="M691" s="64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6"/>
      <c r="J692" s="63"/>
      <c r="K692" s="63"/>
      <c r="L692" s="63"/>
      <c r="M692" s="64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6"/>
      <c r="J693" s="63"/>
      <c r="K693" s="63"/>
      <c r="L693" s="63"/>
      <c r="M693" s="64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6"/>
      <c r="J694" s="63"/>
      <c r="K694" s="63"/>
      <c r="L694" s="63"/>
      <c r="M694" s="64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6"/>
      <c r="J695" s="63"/>
      <c r="K695" s="63"/>
      <c r="L695" s="63"/>
      <c r="M695" s="64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6"/>
      <c r="J696" s="63"/>
      <c r="K696" s="63"/>
      <c r="L696" s="63"/>
      <c r="M696" s="64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6"/>
      <c r="J697" s="63"/>
      <c r="K697" s="63"/>
      <c r="L697" s="63"/>
      <c r="M697" s="64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6"/>
      <c r="J698" s="63"/>
      <c r="K698" s="63"/>
      <c r="L698" s="63"/>
      <c r="M698" s="64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6"/>
      <c r="J699" s="63"/>
      <c r="K699" s="63"/>
      <c r="L699" s="63"/>
      <c r="M699" s="64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6"/>
      <c r="J700" s="63"/>
      <c r="K700" s="63"/>
      <c r="L700" s="63"/>
      <c r="M700" s="64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6"/>
      <c r="J701" s="63"/>
      <c r="K701" s="63"/>
      <c r="L701" s="63"/>
      <c r="M701" s="64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6"/>
      <c r="J702" s="63"/>
      <c r="K702" s="63"/>
      <c r="L702" s="63"/>
      <c r="M702" s="64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6"/>
      <c r="J703" s="63"/>
      <c r="K703" s="63"/>
      <c r="L703" s="63"/>
      <c r="M703" s="64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6"/>
      <c r="J704" s="63"/>
      <c r="K704" s="63"/>
      <c r="L704" s="63"/>
      <c r="M704" s="64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6"/>
      <c r="J705" s="63"/>
      <c r="K705" s="63"/>
      <c r="L705" s="63"/>
      <c r="M705" s="64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6"/>
      <c r="J706" s="63"/>
      <c r="K706" s="63"/>
      <c r="L706" s="63"/>
      <c r="M706" s="64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6"/>
      <c r="J707" s="63"/>
      <c r="K707" s="63"/>
      <c r="L707" s="63"/>
      <c r="M707" s="64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6"/>
      <c r="J708" s="63"/>
      <c r="K708" s="63"/>
      <c r="L708" s="63"/>
      <c r="M708" s="64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6"/>
      <c r="J709" s="63"/>
      <c r="K709" s="63"/>
      <c r="L709" s="63"/>
      <c r="M709" s="64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6"/>
      <c r="J710" s="63"/>
      <c r="K710" s="63"/>
      <c r="L710" s="63"/>
      <c r="M710" s="64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6"/>
      <c r="J711" s="63"/>
      <c r="K711" s="63"/>
      <c r="L711" s="63"/>
      <c r="M711" s="64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6"/>
      <c r="J712" s="63"/>
      <c r="K712" s="63"/>
      <c r="L712" s="63"/>
      <c r="M712" s="64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6"/>
      <c r="J713" s="63"/>
      <c r="K713" s="63"/>
      <c r="L713" s="63"/>
      <c r="M713" s="64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6"/>
      <c r="J714" s="63"/>
      <c r="K714" s="63"/>
      <c r="L714" s="63"/>
      <c r="M714" s="64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6"/>
      <c r="J715" s="63"/>
      <c r="K715" s="63"/>
      <c r="L715" s="63"/>
      <c r="M715" s="64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6"/>
      <c r="J716" s="63"/>
      <c r="K716" s="63"/>
      <c r="L716" s="63"/>
      <c r="M716" s="64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6"/>
      <c r="J717" s="63"/>
      <c r="K717" s="63"/>
      <c r="L717" s="63"/>
      <c r="M717" s="64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6"/>
      <c r="J718" s="63"/>
      <c r="K718" s="63"/>
      <c r="L718" s="63"/>
      <c r="M718" s="64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6"/>
      <c r="J719" s="63"/>
      <c r="K719" s="63"/>
      <c r="L719" s="63"/>
      <c r="M719" s="64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6"/>
      <c r="J720" s="63"/>
      <c r="K720" s="63"/>
      <c r="L720" s="63"/>
      <c r="M720" s="64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6"/>
      <c r="J721" s="63"/>
      <c r="K721" s="63"/>
      <c r="L721" s="63"/>
      <c r="M721" s="64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6"/>
      <c r="J722" s="63"/>
      <c r="K722" s="63"/>
      <c r="L722" s="63"/>
      <c r="M722" s="64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6"/>
      <c r="J723" s="63"/>
      <c r="K723" s="63"/>
      <c r="L723" s="63"/>
      <c r="M723" s="64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6"/>
      <c r="J724" s="63"/>
      <c r="K724" s="63"/>
      <c r="L724" s="63"/>
      <c r="M724" s="64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6"/>
      <c r="J725" s="63"/>
      <c r="K725" s="63"/>
      <c r="L725" s="63"/>
      <c r="M725" s="64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6"/>
      <c r="J726" s="63"/>
      <c r="K726" s="63"/>
      <c r="L726" s="63"/>
      <c r="M726" s="64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6"/>
      <c r="J727" s="63"/>
      <c r="K727" s="63"/>
      <c r="L727" s="63"/>
      <c r="M727" s="64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6"/>
      <c r="J728" s="63"/>
      <c r="K728" s="63"/>
      <c r="L728" s="63"/>
      <c r="M728" s="64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6"/>
      <c r="J729" s="63"/>
      <c r="K729" s="63"/>
      <c r="L729" s="63"/>
      <c r="M729" s="64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6"/>
      <c r="J730" s="63"/>
      <c r="K730" s="63"/>
      <c r="L730" s="63"/>
      <c r="M730" s="64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6"/>
      <c r="J731" s="63"/>
      <c r="K731" s="63"/>
      <c r="L731" s="63"/>
      <c r="M731" s="64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6"/>
      <c r="J732" s="63"/>
      <c r="K732" s="63"/>
      <c r="L732" s="63"/>
      <c r="M732" s="64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6"/>
      <c r="J733" s="63"/>
      <c r="K733" s="63"/>
      <c r="L733" s="63"/>
      <c r="M733" s="64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6"/>
      <c r="J734" s="63"/>
      <c r="K734" s="63"/>
      <c r="L734" s="63"/>
      <c r="M734" s="64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6"/>
      <c r="J735" s="63"/>
      <c r="K735" s="63"/>
      <c r="L735" s="63"/>
      <c r="M735" s="64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6"/>
      <c r="J736" s="63"/>
      <c r="K736" s="63"/>
      <c r="L736" s="63"/>
      <c r="M736" s="64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6"/>
      <c r="J737" s="63"/>
      <c r="K737" s="63"/>
      <c r="L737" s="63"/>
      <c r="M737" s="64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6"/>
      <c r="J738" s="63"/>
      <c r="K738" s="63"/>
      <c r="L738" s="63"/>
      <c r="M738" s="64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6"/>
      <c r="J739" s="63"/>
      <c r="K739" s="63"/>
      <c r="L739" s="63"/>
      <c r="M739" s="64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6"/>
      <c r="J740" s="63"/>
      <c r="K740" s="63"/>
      <c r="L740" s="63"/>
      <c r="M740" s="64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6"/>
      <c r="J741" s="63"/>
      <c r="K741" s="63"/>
      <c r="L741" s="63"/>
      <c r="M741" s="64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6"/>
      <c r="J742" s="63"/>
      <c r="K742" s="63"/>
      <c r="L742" s="63"/>
      <c r="M742" s="64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6"/>
      <c r="J743" s="63"/>
      <c r="K743" s="63"/>
      <c r="L743" s="63"/>
      <c r="M743" s="64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6"/>
      <c r="J744" s="63"/>
      <c r="K744" s="63"/>
      <c r="L744" s="63"/>
      <c r="M744" s="64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6"/>
      <c r="J745" s="63"/>
      <c r="K745" s="63"/>
      <c r="L745" s="63"/>
      <c r="M745" s="64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6"/>
      <c r="J746" s="63"/>
      <c r="K746" s="63"/>
      <c r="L746" s="63"/>
      <c r="M746" s="64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6"/>
      <c r="J747" s="63"/>
      <c r="K747" s="63"/>
      <c r="L747" s="63"/>
      <c r="M747" s="64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6"/>
      <c r="J748" s="63"/>
      <c r="K748" s="63"/>
      <c r="L748" s="63"/>
      <c r="M748" s="64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6"/>
      <c r="J749" s="63"/>
      <c r="K749" s="63"/>
      <c r="L749" s="63"/>
      <c r="M749" s="64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6"/>
      <c r="J750" s="63"/>
      <c r="K750" s="63"/>
      <c r="L750" s="63"/>
      <c r="M750" s="64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6"/>
      <c r="J751" s="63"/>
      <c r="K751" s="63"/>
      <c r="L751" s="63"/>
      <c r="M751" s="64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6"/>
      <c r="J752" s="63"/>
      <c r="K752" s="63"/>
      <c r="L752" s="63"/>
      <c r="M752" s="64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6"/>
      <c r="J753" s="63"/>
      <c r="K753" s="63"/>
      <c r="L753" s="63"/>
      <c r="M753" s="64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6"/>
      <c r="J754" s="63"/>
      <c r="K754" s="63"/>
      <c r="L754" s="63"/>
      <c r="M754" s="64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6"/>
      <c r="J755" s="63"/>
      <c r="K755" s="63"/>
      <c r="L755" s="63"/>
      <c r="M755" s="64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6"/>
      <c r="J756" s="63"/>
      <c r="K756" s="63"/>
      <c r="L756" s="63"/>
      <c r="M756" s="64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6"/>
      <c r="J757" s="63"/>
      <c r="K757" s="63"/>
      <c r="L757" s="63"/>
      <c r="M757" s="64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6"/>
      <c r="J758" s="63"/>
      <c r="K758" s="63"/>
      <c r="L758" s="63"/>
      <c r="M758" s="64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6"/>
      <c r="J759" s="63"/>
      <c r="K759" s="63"/>
      <c r="L759" s="63"/>
      <c r="M759" s="64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6"/>
      <c r="J760" s="63"/>
      <c r="K760" s="63"/>
      <c r="L760" s="63"/>
      <c r="M760" s="64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6"/>
      <c r="J761" s="63"/>
      <c r="K761" s="63"/>
      <c r="L761" s="63"/>
      <c r="M761" s="64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6"/>
      <c r="J762" s="63"/>
      <c r="K762" s="63"/>
      <c r="L762" s="63"/>
      <c r="M762" s="64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6"/>
      <c r="J763" s="63"/>
      <c r="K763" s="63"/>
      <c r="L763" s="63"/>
      <c r="M763" s="64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6"/>
      <c r="J764" s="63"/>
      <c r="K764" s="63"/>
      <c r="L764" s="63"/>
      <c r="M764" s="64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6"/>
      <c r="J765" s="63"/>
      <c r="K765" s="63"/>
      <c r="L765" s="63"/>
      <c r="M765" s="64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6"/>
      <c r="J766" s="63"/>
      <c r="K766" s="63"/>
      <c r="L766" s="63"/>
      <c r="M766" s="64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6"/>
      <c r="J767" s="63"/>
      <c r="K767" s="63"/>
      <c r="L767" s="63"/>
      <c r="M767" s="64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6"/>
      <c r="J768" s="63"/>
      <c r="K768" s="63"/>
      <c r="L768" s="63"/>
      <c r="M768" s="64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6"/>
      <c r="J769" s="63"/>
      <c r="K769" s="63"/>
      <c r="L769" s="63"/>
      <c r="M769" s="64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6"/>
      <c r="J770" s="63"/>
      <c r="K770" s="63"/>
      <c r="L770" s="63"/>
      <c r="M770" s="64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6"/>
      <c r="J771" s="63"/>
      <c r="K771" s="63"/>
      <c r="L771" s="63"/>
      <c r="M771" s="64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6"/>
      <c r="J772" s="63"/>
      <c r="K772" s="63"/>
      <c r="L772" s="63"/>
      <c r="M772" s="64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6"/>
      <c r="J773" s="63"/>
      <c r="K773" s="63"/>
      <c r="L773" s="63"/>
      <c r="M773" s="64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6"/>
      <c r="J774" s="63"/>
      <c r="K774" s="63"/>
      <c r="L774" s="63"/>
      <c r="M774" s="64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6"/>
      <c r="J775" s="63"/>
      <c r="K775" s="63"/>
      <c r="L775" s="63"/>
      <c r="M775" s="64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6"/>
      <c r="J776" s="63"/>
      <c r="K776" s="63"/>
      <c r="L776" s="63"/>
      <c r="M776" s="64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6"/>
      <c r="J777" s="63"/>
      <c r="K777" s="63"/>
      <c r="L777" s="63"/>
      <c r="M777" s="64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6"/>
      <c r="J778" s="63"/>
      <c r="K778" s="63"/>
      <c r="L778" s="63"/>
      <c r="M778" s="64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6"/>
      <c r="J779" s="63"/>
      <c r="K779" s="63"/>
      <c r="L779" s="63"/>
      <c r="M779" s="64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6"/>
      <c r="J780" s="63"/>
      <c r="K780" s="63"/>
      <c r="L780" s="63"/>
      <c r="M780" s="64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6"/>
      <c r="J781" s="63"/>
      <c r="K781" s="63"/>
      <c r="L781" s="63"/>
      <c r="M781" s="64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6"/>
      <c r="J782" s="63"/>
      <c r="K782" s="63"/>
      <c r="L782" s="63"/>
      <c r="M782" s="64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6"/>
      <c r="J783" s="63"/>
      <c r="K783" s="63"/>
      <c r="L783" s="63"/>
      <c r="M783" s="64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6"/>
      <c r="J784" s="63"/>
      <c r="K784" s="63"/>
      <c r="L784" s="63"/>
      <c r="M784" s="64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6"/>
      <c r="J785" s="63"/>
      <c r="K785" s="63"/>
      <c r="L785" s="63"/>
      <c r="M785" s="64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6"/>
      <c r="J786" s="63"/>
      <c r="K786" s="63"/>
      <c r="L786" s="63"/>
      <c r="M786" s="64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6"/>
      <c r="J787" s="63"/>
      <c r="K787" s="63"/>
      <c r="L787" s="63"/>
      <c r="M787" s="64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6"/>
      <c r="J788" s="63"/>
      <c r="K788" s="63"/>
      <c r="L788" s="63"/>
      <c r="M788" s="64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6"/>
      <c r="J789" s="63"/>
      <c r="K789" s="63"/>
      <c r="L789" s="63"/>
      <c r="M789" s="64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6"/>
      <c r="J790" s="63"/>
      <c r="K790" s="63"/>
      <c r="L790" s="63"/>
      <c r="M790" s="64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6"/>
      <c r="J791" s="63"/>
      <c r="K791" s="63"/>
      <c r="L791" s="63"/>
      <c r="M791" s="64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6"/>
      <c r="J792" s="63"/>
      <c r="K792" s="63"/>
      <c r="L792" s="63"/>
      <c r="M792" s="64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6"/>
      <c r="J793" s="63"/>
      <c r="K793" s="63"/>
      <c r="L793" s="63"/>
      <c r="M793" s="64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6"/>
      <c r="J794" s="63"/>
      <c r="K794" s="63"/>
      <c r="L794" s="63"/>
      <c r="M794" s="64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6"/>
      <c r="J795" s="63"/>
      <c r="K795" s="63"/>
      <c r="L795" s="63"/>
      <c r="M795" s="64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6"/>
      <c r="J796" s="63"/>
      <c r="K796" s="63"/>
      <c r="L796" s="63"/>
      <c r="M796" s="64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6"/>
      <c r="J797" s="63"/>
      <c r="K797" s="63"/>
      <c r="L797" s="63"/>
      <c r="M797" s="64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6"/>
      <c r="J798" s="63"/>
      <c r="K798" s="63"/>
      <c r="L798" s="63"/>
      <c r="M798" s="64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6"/>
      <c r="J799" s="63"/>
      <c r="K799" s="63"/>
      <c r="L799" s="63"/>
      <c r="M799" s="64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6"/>
      <c r="J800" s="63"/>
      <c r="K800" s="63"/>
      <c r="L800" s="63"/>
      <c r="M800" s="64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6"/>
      <c r="J801" s="63"/>
      <c r="K801" s="63"/>
      <c r="L801" s="63"/>
      <c r="M801" s="64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6"/>
      <c r="J802" s="63"/>
      <c r="K802" s="63"/>
      <c r="L802" s="63"/>
      <c r="M802" s="64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6"/>
      <c r="J803" s="63"/>
      <c r="K803" s="63"/>
      <c r="L803" s="63"/>
      <c r="M803" s="64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6"/>
      <c r="J804" s="63"/>
      <c r="K804" s="63"/>
      <c r="L804" s="63"/>
      <c r="M804" s="64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6"/>
      <c r="J805" s="63"/>
      <c r="K805" s="63"/>
      <c r="L805" s="63"/>
      <c r="M805" s="64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6"/>
      <c r="J806" s="63"/>
      <c r="K806" s="63"/>
      <c r="L806" s="63"/>
      <c r="M806" s="64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6"/>
      <c r="J807" s="63"/>
      <c r="K807" s="63"/>
      <c r="L807" s="63"/>
      <c r="M807" s="64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6"/>
      <c r="J808" s="63"/>
      <c r="K808" s="63"/>
      <c r="L808" s="63"/>
      <c r="M808" s="64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6"/>
      <c r="J809" s="63"/>
      <c r="K809" s="63"/>
      <c r="L809" s="63"/>
      <c r="M809" s="64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6"/>
      <c r="J810" s="63"/>
      <c r="K810" s="63"/>
      <c r="L810" s="63"/>
      <c r="M810" s="64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6"/>
      <c r="J811" s="63"/>
      <c r="K811" s="63"/>
      <c r="L811" s="63"/>
      <c r="M811" s="64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6"/>
      <c r="J812" s="63"/>
      <c r="K812" s="63"/>
      <c r="L812" s="63"/>
      <c r="M812" s="64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6"/>
      <c r="J813" s="63"/>
      <c r="K813" s="63"/>
      <c r="L813" s="63"/>
      <c r="M813" s="64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6"/>
      <c r="J814" s="63"/>
      <c r="K814" s="63"/>
      <c r="L814" s="63"/>
      <c r="M814" s="64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6"/>
      <c r="J815" s="63"/>
      <c r="K815" s="63"/>
      <c r="L815" s="63"/>
      <c r="M815" s="64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6"/>
      <c r="J816" s="63"/>
      <c r="K816" s="63"/>
      <c r="L816" s="63"/>
      <c r="M816" s="64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6"/>
      <c r="J817" s="63"/>
      <c r="K817" s="63"/>
      <c r="L817" s="63"/>
      <c r="M817" s="64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6"/>
      <c r="J818" s="63"/>
      <c r="K818" s="63"/>
      <c r="L818" s="63"/>
      <c r="M818" s="64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6"/>
      <c r="J819" s="63"/>
      <c r="K819" s="63"/>
      <c r="L819" s="63"/>
      <c r="M819" s="64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6"/>
      <c r="J820" s="63"/>
      <c r="K820" s="63"/>
      <c r="L820" s="63"/>
      <c r="M820" s="64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6"/>
      <c r="J821" s="63"/>
      <c r="K821" s="63"/>
      <c r="L821" s="63"/>
      <c r="M821" s="64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6"/>
      <c r="J822" s="63"/>
      <c r="K822" s="63"/>
      <c r="L822" s="63"/>
      <c r="M822" s="64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6"/>
      <c r="J823" s="63"/>
      <c r="K823" s="63"/>
      <c r="L823" s="63"/>
      <c r="M823" s="64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6"/>
      <c r="J824" s="63"/>
      <c r="K824" s="63"/>
      <c r="L824" s="63"/>
      <c r="M824" s="64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6"/>
      <c r="J825" s="63"/>
      <c r="K825" s="63"/>
      <c r="L825" s="63"/>
      <c r="M825" s="64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6"/>
      <c r="J826" s="63"/>
      <c r="K826" s="63"/>
      <c r="L826" s="63"/>
      <c r="M826" s="64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6"/>
      <c r="J827" s="63"/>
      <c r="K827" s="63"/>
      <c r="L827" s="63"/>
      <c r="M827" s="64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6"/>
      <c r="J828" s="63"/>
      <c r="K828" s="63"/>
      <c r="L828" s="63"/>
      <c r="M828" s="64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6"/>
      <c r="J829" s="63"/>
      <c r="K829" s="63"/>
      <c r="L829" s="63"/>
      <c r="M829" s="64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6"/>
      <c r="J830" s="63"/>
      <c r="K830" s="63"/>
      <c r="L830" s="63"/>
      <c r="M830" s="64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6"/>
      <c r="J831" s="63"/>
      <c r="K831" s="63"/>
      <c r="L831" s="63"/>
      <c r="M831" s="64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6"/>
      <c r="J832" s="63"/>
      <c r="K832" s="63"/>
      <c r="L832" s="63"/>
      <c r="M832" s="64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6"/>
      <c r="J833" s="63"/>
      <c r="K833" s="63"/>
      <c r="L833" s="63"/>
      <c r="M833" s="64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6"/>
      <c r="J834" s="63"/>
      <c r="K834" s="63"/>
      <c r="L834" s="63"/>
      <c r="M834" s="64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6"/>
      <c r="J835" s="63"/>
      <c r="K835" s="63"/>
      <c r="L835" s="63"/>
      <c r="M835" s="64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6"/>
      <c r="J836" s="63"/>
      <c r="K836" s="63"/>
      <c r="L836" s="63"/>
      <c r="M836" s="64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6"/>
      <c r="J837" s="63"/>
      <c r="K837" s="63"/>
      <c r="L837" s="63"/>
      <c r="M837" s="64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6"/>
      <c r="J838" s="63"/>
      <c r="K838" s="63"/>
      <c r="L838" s="63"/>
      <c r="M838" s="64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6"/>
      <c r="J839" s="63"/>
      <c r="K839" s="63"/>
      <c r="L839" s="63"/>
      <c r="M839" s="64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6"/>
      <c r="J840" s="63"/>
      <c r="K840" s="63"/>
      <c r="L840" s="63"/>
      <c r="M840" s="64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6"/>
      <c r="J841" s="63"/>
      <c r="K841" s="63"/>
      <c r="L841" s="63"/>
      <c r="M841" s="64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6"/>
      <c r="J842" s="63"/>
      <c r="K842" s="63"/>
      <c r="L842" s="63"/>
      <c r="M842" s="64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6"/>
      <c r="J843" s="63"/>
      <c r="K843" s="63"/>
      <c r="L843" s="63"/>
      <c r="M843" s="64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6"/>
      <c r="J844" s="63"/>
      <c r="K844" s="63"/>
      <c r="L844" s="63"/>
      <c r="M844" s="64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6"/>
      <c r="J845" s="63"/>
      <c r="K845" s="63"/>
      <c r="L845" s="63"/>
      <c r="M845" s="64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6"/>
      <c r="J846" s="63"/>
      <c r="K846" s="63"/>
      <c r="L846" s="63"/>
      <c r="M846" s="64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6"/>
      <c r="J847" s="63"/>
      <c r="K847" s="63"/>
      <c r="L847" s="63"/>
      <c r="M847" s="64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6"/>
      <c r="J848" s="63"/>
      <c r="K848" s="63"/>
      <c r="L848" s="63"/>
      <c r="M848" s="64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6"/>
      <c r="J849" s="63"/>
      <c r="K849" s="63"/>
      <c r="L849" s="63"/>
      <c r="M849" s="64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6"/>
      <c r="J850" s="63"/>
      <c r="K850" s="63"/>
      <c r="L850" s="63"/>
      <c r="M850" s="64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6"/>
      <c r="J851" s="63"/>
      <c r="K851" s="63"/>
      <c r="L851" s="63"/>
      <c r="M851" s="64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6"/>
      <c r="J852" s="63"/>
      <c r="K852" s="63"/>
      <c r="L852" s="63"/>
      <c r="M852" s="64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6"/>
      <c r="J853" s="63"/>
      <c r="K853" s="63"/>
      <c r="L853" s="63"/>
      <c r="M853" s="64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6"/>
      <c r="J854" s="63"/>
      <c r="K854" s="63"/>
      <c r="L854" s="63"/>
      <c r="M854" s="64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6"/>
      <c r="J855" s="63"/>
      <c r="K855" s="63"/>
      <c r="L855" s="63"/>
      <c r="M855" s="64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6"/>
      <c r="J856" s="63"/>
      <c r="K856" s="63"/>
      <c r="L856" s="63"/>
      <c r="M856" s="64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6"/>
      <c r="J857" s="63"/>
      <c r="K857" s="63"/>
      <c r="L857" s="63"/>
      <c r="M857" s="64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6"/>
      <c r="J858" s="63"/>
      <c r="K858" s="63"/>
      <c r="L858" s="63"/>
      <c r="M858" s="64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6"/>
      <c r="J859" s="63"/>
      <c r="K859" s="63"/>
      <c r="L859" s="63"/>
      <c r="M859" s="64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6"/>
      <c r="J860" s="63"/>
      <c r="K860" s="63"/>
      <c r="L860" s="63"/>
      <c r="M860" s="64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6"/>
      <c r="J861" s="63"/>
      <c r="K861" s="63"/>
      <c r="L861" s="63"/>
      <c r="M861" s="64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6"/>
      <c r="J862" s="63"/>
      <c r="K862" s="63"/>
      <c r="L862" s="63"/>
      <c r="M862" s="64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6"/>
      <c r="J863" s="63"/>
      <c r="K863" s="63"/>
      <c r="L863" s="63"/>
      <c r="M863" s="64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6"/>
      <c r="J864" s="63"/>
      <c r="K864" s="63"/>
      <c r="L864" s="63"/>
      <c r="M864" s="64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6"/>
      <c r="J865" s="63"/>
      <c r="K865" s="63"/>
      <c r="L865" s="63"/>
      <c r="M865" s="64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6"/>
      <c r="J866" s="63"/>
      <c r="K866" s="63"/>
      <c r="L866" s="63"/>
      <c r="M866" s="64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6"/>
      <c r="J867" s="63"/>
      <c r="K867" s="63"/>
      <c r="L867" s="63"/>
      <c r="M867" s="64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6"/>
      <c r="J868" s="63"/>
      <c r="K868" s="63"/>
      <c r="L868" s="63"/>
      <c r="M868" s="64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6"/>
      <c r="J869" s="63"/>
      <c r="K869" s="63"/>
      <c r="L869" s="63"/>
      <c r="M869" s="64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6"/>
      <c r="J870" s="63"/>
      <c r="K870" s="63"/>
      <c r="L870" s="63"/>
      <c r="M870" s="64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6"/>
      <c r="J871" s="63"/>
      <c r="K871" s="63"/>
      <c r="L871" s="63"/>
      <c r="M871" s="64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6"/>
      <c r="J872" s="63"/>
      <c r="K872" s="63"/>
      <c r="L872" s="63"/>
      <c r="M872" s="64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6"/>
      <c r="J873" s="63"/>
      <c r="K873" s="63"/>
      <c r="L873" s="63"/>
      <c r="M873" s="64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6"/>
      <c r="J874" s="63"/>
      <c r="K874" s="63"/>
      <c r="L874" s="63"/>
      <c r="M874" s="64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6"/>
      <c r="J875" s="63"/>
      <c r="K875" s="63"/>
      <c r="L875" s="63"/>
      <c r="M875" s="64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6"/>
      <c r="J876" s="63"/>
      <c r="K876" s="63"/>
      <c r="L876" s="63"/>
      <c r="M876" s="64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6"/>
      <c r="J877" s="63"/>
      <c r="K877" s="63"/>
      <c r="L877" s="63"/>
      <c r="M877" s="64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6"/>
      <c r="J878" s="63"/>
      <c r="K878" s="63"/>
      <c r="L878" s="63"/>
      <c r="M878" s="64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6"/>
      <c r="J879" s="63"/>
      <c r="K879" s="63"/>
      <c r="L879" s="63"/>
      <c r="M879" s="64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6"/>
      <c r="J880" s="63"/>
      <c r="K880" s="63"/>
      <c r="L880" s="63"/>
      <c r="M880" s="64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6"/>
      <c r="J881" s="63"/>
      <c r="K881" s="63"/>
      <c r="L881" s="63"/>
      <c r="M881" s="64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6"/>
      <c r="J882" s="63"/>
      <c r="K882" s="63"/>
      <c r="L882" s="63"/>
      <c r="M882" s="64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6"/>
      <c r="J883" s="63"/>
      <c r="K883" s="63"/>
      <c r="L883" s="63"/>
      <c r="M883" s="64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6"/>
      <c r="J884" s="63"/>
      <c r="K884" s="63"/>
      <c r="L884" s="63"/>
      <c r="M884" s="64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6"/>
      <c r="J885" s="63"/>
      <c r="K885" s="63"/>
      <c r="L885" s="63"/>
      <c r="M885" s="64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6"/>
      <c r="J886" s="63"/>
      <c r="K886" s="63"/>
      <c r="L886" s="63"/>
      <c r="M886" s="64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6"/>
      <c r="J887" s="63"/>
      <c r="K887" s="63"/>
      <c r="L887" s="63"/>
      <c r="M887" s="64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6"/>
      <c r="J888" s="63"/>
      <c r="K888" s="63"/>
      <c r="L888" s="63"/>
      <c r="M888" s="64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6"/>
      <c r="J889" s="63"/>
      <c r="K889" s="63"/>
      <c r="L889" s="63"/>
      <c r="M889" s="64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6"/>
      <c r="J890" s="63"/>
      <c r="K890" s="63"/>
      <c r="L890" s="63"/>
      <c r="M890" s="64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6"/>
      <c r="J891" s="63"/>
      <c r="K891" s="63"/>
      <c r="L891" s="63"/>
      <c r="M891" s="64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6"/>
      <c r="J892" s="63"/>
      <c r="K892" s="63"/>
      <c r="L892" s="63"/>
      <c r="M892" s="64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6"/>
      <c r="J893" s="63"/>
      <c r="K893" s="63"/>
      <c r="L893" s="63"/>
      <c r="M893" s="64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6"/>
      <c r="J894" s="63"/>
      <c r="K894" s="63"/>
      <c r="L894" s="63"/>
      <c r="M894" s="64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6"/>
      <c r="J895" s="63"/>
      <c r="K895" s="63"/>
      <c r="L895" s="63"/>
      <c r="M895" s="64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6"/>
      <c r="J896" s="63"/>
      <c r="K896" s="63"/>
      <c r="L896" s="63"/>
      <c r="M896" s="64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6"/>
      <c r="J897" s="63"/>
      <c r="K897" s="63"/>
      <c r="L897" s="63"/>
      <c r="M897" s="64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6"/>
      <c r="J898" s="63"/>
      <c r="K898" s="63"/>
      <c r="L898" s="63"/>
      <c r="M898" s="64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6"/>
      <c r="J899" s="63"/>
      <c r="K899" s="63"/>
      <c r="L899" s="63"/>
      <c r="M899" s="64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6"/>
      <c r="J900" s="63"/>
      <c r="K900" s="63"/>
      <c r="L900" s="63"/>
      <c r="M900" s="64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6"/>
      <c r="J901" s="63"/>
      <c r="K901" s="63"/>
      <c r="L901" s="63"/>
      <c r="M901" s="64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6"/>
      <c r="J902" s="63"/>
      <c r="K902" s="63"/>
      <c r="L902" s="63"/>
      <c r="M902" s="64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6"/>
      <c r="J903" s="63"/>
      <c r="K903" s="63"/>
      <c r="L903" s="63"/>
      <c r="M903" s="64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6"/>
      <c r="J904" s="63"/>
      <c r="K904" s="63"/>
      <c r="L904" s="63"/>
      <c r="M904" s="64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6"/>
      <c r="J905" s="63"/>
      <c r="K905" s="63"/>
      <c r="L905" s="63"/>
      <c r="M905" s="64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6"/>
      <c r="J906" s="63"/>
      <c r="K906" s="63"/>
      <c r="L906" s="63"/>
      <c r="M906" s="64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6"/>
      <c r="J907" s="63"/>
      <c r="K907" s="63"/>
      <c r="L907" s="63"/>
      <c r="M907" s="64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6"/>
      <c r="J908" s="63"/>
      <c r="K908" s="63"/>
      <c r="L908" s="63"/>
      <c r="M908" s="64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6"/>
      <c r="J909" s="63"/>
      <c r="K909" s="63"/>
      <c r="L909" s="63"/>
      <c r="M909" s="64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6"/>
      <c r="J910" s="63"/>
      <c r="K910" s="63"/>
      <c r="L910" s="63"/>
      <c r="M910" s="64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6"/>
      <c r="J911" s="63"/>
      <c r="K911" s="63"/>
      <c r="L911" s="63"/>
      <c r="M911" s="64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6"/>
      <c r="J912" s="63"/>
      <c r="K912" s="63"/>
      <c r="L912" s="63"/>
      <c r="M912" s="64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6"/>
      <c r="J913" s="63"/>
      <c r="K913" s="63"/>
      <c r="L913" s="63"/>
      <c r="M913" s="64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6"/>
      <c r="J914" s="63"/>
      <c r="K914" s="63"/>
      <c r="L914" s="63"/>
      <c r="M914" s="64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6"/>
      <c r="J915" s="63"/>
      <c r="K915" s="63"/>
      <c r="L915" s="63"/>
      <c r="M915" s="64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6"/>
      <c r="J916" s="63"/>
      <c r="K916" s="63"/>
      <c r="L916" s="63"/>
      <c r="M916" s="64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6"/>
      <c r="J917" s="63"/>
      <c r="K917" s="63"/>
      <c r="L917" s="63"/>
      <c r="M917" s="64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6"/>
      <c r="J918" s="63"/>
      <c r="K918" s="63"/>
      <c r="L918" s="63"/>
      <c r="M918" s="64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6"/>
      <c r="J919" s="63"/>
      <c r="K919" s="63"/>
      <c r="L919" s="63"/>
      <c r="M919" s="64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6"/>
      <c r="J920" s="63"/>
      <c r="K920" s="63"/>
      <c r="L920" s="63"/>
      <c r="M920" s="64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6"/>
      <c r="J921" s="63"/>
      <c r="K921" s="63"/>
      <c r="L921" s="63"/>
      <c r="M921" s="64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6"/>
      <c r="J922" s="63"/>
      <c r="K922" s="63"/>
      <c r="L922" s="63"/>
      <c r="M922" s="64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6"/>
      <c r="J923" s="63"/>
      <c r="K923" s="63"/>
      <c r="L923" s="63"/>
      <c r="M923" s="64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6"/>
      <c r="J924" s="63"/>
      <c r="K924" s="63"/>
      <c r="L924" s="63"/>
      <c r="M924" s="64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6"/>
      <c r="J925" s="63"/>
      <c r="K925" s="63"/>
      <c r="L925" s="63"/>
      <c r="M925" s="64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6"/>
      <c r="J926" s="63"/>
      <c r="K926" s="63"/>
      <c r="L926" s="63"/>
      <c r="M926" s="64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6"/>
      <c r="J927" s="63"/>
      <c r="K927" s="63"/>
      <c r="L927" s="63"/>
      <c r="M927" s="64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6"/>
      <c r="J928" s="63"/>
      <c r="K928" s="63"/>
      <c r="L928" s="63"/>
      <c r="M928" s="64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6"/>
      <c r="J929" s="63"/>
      <c r="K929" s="63"/>
      <c r="L929" s="63"/>
      <c r="M929" s="64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6"/>
      <c r="J930" s="63"/>
      <c r="K930" s="63"/>
      <c r="L930" s="63"/>
      <c r="M930" s="64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6"/>
      <c r="J931" s="63"/>
      <c r="K931" s="63"/>
      <c r="L931" s="63"/>
      <c r="M931" s="64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6"/>
      <c r="J932" s="63"/>
      <c r="K932" s="63"/>
      <c r="L932" s="63"/>
      <c r="M932" s="64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6"/>
      <c r="J933" s="63"/>
      <c r="K933" s="63"/>
      <c r="L933" s="63"/>
      <c r="M933" s="64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6"/>
      <c r="J934" s="63"/>
      <c r="K934" s="63"/>
      <c r="L934" s="63"/>
      <c r="M934" s="64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6"/>
      <c r="J935" s="63"/>
      <c r="K935" s="63"/>
      <c r="L935" s="63"/>
      <c r="M935" s="64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6"/>
      <c r="J936" s="63"/>
      <c r="K936" s="63"/>
      <c r="L936" s="63"/>
      <c r="M936" s="64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6"/>
      <c r="J937" s="63"/>
      <c r="K937" s="63"/>
      <c r="L937" s="63"/>
      <c r="M937" s="64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6"/>
      <c r="J938" s="63"/>
      <c r="K938" s="63"/>
      <c r="L938" s="63"/>
      <c r="M938" s="64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6"/>
      <c r="J939" s="63"/>
      <c r="K939" s="63"/>
      <c r="L939" s="63"/>
      <c r="M939" s="64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6"/>
      <c r="J940" s="63"/>
      <c r="K940" s="63"/>
      <c r="L940" s="63"/>
      <c r="M940" s="64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6"/>
      <c r="J941" s="63"/>
      <c r="K941" s="63"/>
      <c r="L941" s="63"/>
      <c r="M941" s="64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6"/>
      <c r="J942" s="63"/>
      <c r="K942" s="63"/>
      <c r="L942" s="63"/>
      <c r="M942" s="64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6"/>
      <c r="J943" s="63"/>
      <c r="K943" s="63"/>
      <c r="L943" s="63"/>
      <c r="M943" s="64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6"/>
      <c r="J944" s="63"/>
      <c r="K944" s="63"/>
      <c r="L944" s="63"/>
      <c r="M944" s="64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6"/>
      <c r="J945" s="63"/>
      <c r="K945" s="63"/>
      <c r="L945" s="63"/>
      <c r="M945" s="64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6"/>
      <c r="J946" s="63"/>
      <c r="K946" s="63"/>
      <c r="L946" s="63"/>
      <c r="M946" s="64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6"/>
      <c r="J947" s="63"/>
      <c r="K947" s="63"/>
      <c r="L947" s="63"/>
      <c r="M947" s="64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6"/>
      <c r="J948" s="63"/>
      <c r="K948" s="63"/>
      <c r="L948" s="63"/>
      <c r="M948" s="64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6"/>
      <c r="J949" s="63"/>
      <c r="K949" s="63"/>
      <c r="L949" s="63"/>
      <c r="M949" s="64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6"/>
      <c r="J950" s="63"/>
      <c r="K950" s="63"/>
      <c r="L950" s="63"/>
      <c r="M950" s="64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6"/>
      <c r="J951" s="63"/>
      <c r="K951" s="63"/>
      <c r="L951" s="63"/>
      <c r="M951" s="64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6"/>
      <c r="J952" s="63"/>
      <c r="K952" s="63"/>
      <c r="L952" s="63"/>
      <c r="M952" s="64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6"/>
      <c r="J953" s="63"/>
      <c r="K953" s="63"/>
      <c r="L953" s="63"/>
      <c r="M953" s="64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6"/>
      <c r="J954" s="63"/>
      <c r="K954" s="63"/>
      <c r="L954" s="63"/>
      <c r="M954" s="64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6"/>
      <c r="J955" s="63"/>
      <c r="K955" s="63"/>
      <c r="L955" s="63"/>
      <c r="M955" s="64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6"/>
      <c r="J956" s="63"/>
      <c r="K956" s="63"/>
      <c r="L956" s="63"/>
      <c r="M956" s="64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6"/>
      <c r="J957" s="63"/>
      <c r="K957" s="63"/>
      <c r="L957" s="63"/>
      <c r="M957" s="64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6"/>
      <c r="J958" s="63"/>
      <c r="K958" s="63"/>
      <c r="L958" s="63"/>
      <c r="M958" s="64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6"/>
      <c r="J959" s="63"/>
      <c r="K959" s="63"/>
      <c r="L959" s="63"/>
      <c r="M959" s="64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6"/>
      <c r="J960" s="63"/>
      <c r="K960" s="63"/>
      <c r="L960" s="63"/>
      <c r="M960" s="64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6"/>
      <c r="J961" s="63"/>
      <c r="K961" s="63"/>
      <c r="L961" s="63"/>
      <c r="M961" s="64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6"/>
      <c r="J962" s="63"/>
      <c r="K962" s="63"/>
      <c r="L962" s="63"/>
      <c r="M962" s="64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6"/>
      <c r="J963" s="63"/>
      <c r="K963" s="63"/>
      <c r="L963" s="63"/>
      <c r="M963" s="64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6"/>
      <c r="J964" s="63"/>
      <c r="K964" s="63"/>
      <c r="L964" s="63"/>
      <c r="M964" s="64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6"/>
      <c r="J965" s="63"/>
      <c r="K965" s="63"/>
      <c r="L965" s="63"/>
      <c r="M965" s="64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6"/>
      <c r="J966" s="63"/>
      <c r="K966" s="63"/>
      <c r="L966" s="63"/>
      <c r="M966" s="64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6"/>
      <c r="J967" s="63"/>
      <c r="K967" s="63"/>
      <c r="L967" s="63"/>
      <c r="M967" s="64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6"/>
      <c r="J968" s="63"/>
      <c r="K968" s="63"/>
      <c r="L968" s="63"/>
      <c r="M968" s="64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6"/>
      <c r="J969" s="63"/>
      <c r="K969" s="63"/>
      <c r="L969" s="63"/>
      <c r="M969" s="64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6"/>
      <c r="J970" s="63"/>
      <c r="K970" s="63"/>
      <c r="L970" s="63"/>
      <c r="M970" s="64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6"/>
      <c r="J971" s="63"/>
      <c r="K971" s="63"/>
      <c r="L971" s="63"/>
      <c r="M971" s="64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6"/>
      <c r="J972" s="63"/>
      <c r="K972" s="63"/>
      <c r="L972" s="63"/>
      <c r="M972" s="64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6"/>
      <c r="J973" s="63"/>
      <c r="K973" s="63"/>
      <c r="L973" s="63"/>
      <c r="M973" s="64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6"/>
      <c r="J974" s="63"/>
      <c r="K974" s="63"/>
      <c r="L974" s="63"/>
      <c r="M974" s="64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6"/>
      <c r="J975" s="63"/>
      <c r="K975" s="63"/>
      <c r="L975" s="63"/>
      <c r="M975" s="64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6"/>
      <c r="J976" s="63"/>
      <c r="K976" s="63"/>
      <c r="L976" s="63"/>
      <c r="M976" s="64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6"/>
      <c r="J977" s="63"/>
      <c r="K977" s="63"/>
      <c r="L977" s="63"/>
      <c r="M977" s="64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6"/>
      <c r="J978" s="63"/>
      <c r="K978" s="63"/>
      <c r="L978" s="63"/>
      <c r="M978" s="64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6"/>
      <c r="J979" s="63"/>
      <c r="K979" s="63"/>
      <c r="L979" s="63"/>
      <c r="M979" s="64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6"/>
      <c r="J980" s="63"/>
      <c r="K980" s="63"/>
      <c r="L980" s="63"/>
      <c r="M980" s="64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6"/>
      <c r="J981" s="63"/>
      <c r="K981" s="63"/>
      <c r="L981" s="63"/>
      <c r="M981" s="64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6"/>
      <c r="J982" s="63"/>
      <c r="K982" s="63"/>
      <c r="L982" s="63"/>
      <c r="M982" s="64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6"/>
      <c r="J983" s="63"/>
      <c r="K983" s="63"/>
      <c r="L983" s="63"/>
      <c r="M983" s="64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6"/>
      <c r="J984" s="63"/>
      <c r="K984" s="63"/>
      <c r="L984" s="63"/>
      <c r="M984" s="64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6"/>
      <c r="J985" s="63"/>
      <c r="K985" s="63"/>
      <c r="L985" s="63"/>
      <c r="M985" s="64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6"/>
      <c r="J986" s="63"/>
      <c r="K986" s="63"/>
      <c r="L986" s="63"/>
      <c r="M986" s="64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6"/>
      <c r="J987" s="63"/>
      <c r="K987" s="63"/>
      <c r="L987" s="63"/>
      <c r="M987" s="64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6"/>
      <c r="J988" s="63"/>
      <c r="K988" s="63"/>
      <c r="L988" s="63"/>
      <c r="M988" s="64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6"/>
      <c r="J989" s="63"/>
      <c r="K989" s="63"/>
      <c r="L989" s="63"/>
      <c r="M989" s="64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6"/>
      <c r="J990" s="63"/>
      <c r="K990" s="63"/>
      <c r="L990" s="63"/>
      <c r="M990" s="64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6"/>
      <c r="J991" s="63"/>
      <c r="K991" s="63"/>
      <c r="L991" s="63"/>
      <c r="M991" s="64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6"/>
      <c r="J992" s="63"/>
      <c r="K992" s="63"/>
      <c r="L992" s="63"/>
      <c r="M992" s="64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6"/>
      <c r="J993" s="63"/>
      <c r="K993" s="63"/>
      <c r="L993" s="63"/>
      <c r="M993" s="64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6"/>
      <c r="J994" s="63"/>
      <c r="K994" s="63"/>
      <c r="L994" s="63"/>
      <c r="M994" s="64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6"/>
      <c r="J995" s="63"/>
      <c r="K995" s="63"/>
      <c r="L995" s="63"/>
      <c r="M995" s="64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6"/>
      <c r="J996" s="63"/>
      <c r="K996" s="63"/>
      <c r="L996" s="63"/>
      <c r="M996" s="64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6"/>
      <c r="J997" s="63"/>
      <c r="K997" s="63"/>
      <c r="L997" s="63"/>
      <c r="M997" s="64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6"/>
      <c r="J998" s="63"/>
      <c r="K998" s="63"/>
      <c r="L998" s="63"/>
      <c r="M998" s="64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6"/>
      <c r="J999" s="63"/>
      <c r="K999" s="63"/>
      <c r="L999" s="63"/>
      <c r="M999" s="64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6"/>
      <c r="J1000" s="63"/>
      <c r="K1000" s="63"/>
      <c r="L1000" s="63"/>
      <c r="M1000" s="64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 ht="15.75" customHeight="1">
      <c r="A1001" s="63"/>
      <c r="B1001" s="63"/>
      <c r="C1001" s="63"/>
      <c r="D1001" s="63"/>
      <c r="E1001" s="63"/>
      <c r="F1001" s="63"/>
      <c r="G1001" s="63"/>
      <c r="H1001" s="63"/>
      <c r="I1001" s="66"/>
      <c r="J1001" s="63"/>
      <c r="K1001" s="63"/>
      <c r="L1001" s="63"/>
      <c r="M1001" s="64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  <row r="1002" ht="15.75" customHeight="1">
      <c r="A1002" s="63"/>
      <c r="B1002" s="63"/>
      <c r="C1002" s="63"/>
      <c r="D1002" s="63"/>
      <c r="E1002" s="63"/>
      <c r="F1002" s="63"/>
      <c r="G1002" s="63"/>
      <c r="H1002" s="63"/>
      <c r="I1002" s="66"/>
      <c r="J1002" s="63"/>
      <c r="K1002" s="63"/>
      <c r="L1002" s="63"/>
      <c r="M1002" s="64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</row>
    <row r="1003" ht="15.75" customHeight="1">
      <c r="A1003" s="63"/>
      <c r="B1003" s="63"/>
      <c r="C1003" s="63"/>
      <c r="D1003" s="63"/>
      <c r="E1003" s="63"/>
      <c r="F1003" s="63"/>
      <c r="G1003" s="63"/>
      <c r="H1003" s="63"/>
      <c r="I1003" s="66"/>
      <c r="J1003" s="63"/>
      <c r="K1003" s="63"/>
      <c r="L1003" s="63"/>
      <c r="M1003" s="64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</row>
    <row r="1004" ht="15.75" customHeight="1">
      <c r="A1004" s="63"/>
      <c r="B1004" s="63"/>
      <c r="C1004" s="63"/>
      <c r="D1004" s="63"/>
      <c r="E1004" s="63"/>
      <c r="F1004" s="63"/>
      <c r="G1004" s="63"/>
      <c r="H1004" s="63"/>
      <c r="I1004" s="66"/>
      <c r="J1004" s="63"/>
      <c r="K1004" s="63"/>
      <c r="L1004" s="63"/>
      <c r="M1004" s="64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</row>
    <row r="1005" ht="15.75" customHeight="1">
      <c r="A1005" s="63"/>
      <c r="B1005" s="63"/>
      <c r="C1005" s="63"/>
      <c r="D1005" s="63"/>
      <c r="E1005" s="63"/>
      <c r="F1005" s="63"/>
      <c r="G1005" s="63"/>
      <c r="H1005" s="63"/>
      <c r="I1005" s="66"/>
      <c r="J1005" s="63"/>
      <c r="K1005" s="63"/>
      <c r="L1005" s="63"/>
      <c r="M1005" s="64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</row>
  </sheetData>
  <mergeCells count="1">
    <mergeCell ref="A1:K2"/>
  </mergeCells>
  <dataValidations>
    <dataValidation type="custom" allowBlank="1" showDropDown="1" sqref="E10:K68">
      <formula1>OR(TIMEVALUE(TEXT(E10, "hh:mm:ss"))=E10, AND(ISNUMBER(E10), LEFT(CELL("format", E10))="D"))</formula1>
    </dataValidation>
    <dataValidation type="custom" allowBlank="1" showDropDown="1" sqref="A10:A68">
      <formula1>OR(NOT(ISERROR(DATEVALUE(A10))), AND(ISNUMBER(A10), LEFT(CELL("format", A10))="D"))</formula1>
    </dataValidation>
    <dataValidation type="custom" allowBlank="1" showDropDown="1" sqref="F6:H7 K6:K7">
      <formula1>AND(ISNUMBER(F6),(NOT(OR(NOT(ISERROR(DATEVALUE(F6))), AND(ISNUMBER(F6), LEFT(CELL("format", F6))="D")))))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75"/>
    <col customWidth="1" min="3" max="3" width="18.0"/>
    <col customWidth="1" min="4" max="4" width="13.0"/>
    <col customWidth="1" min="5" max="5" width="12.88"/>
    <col customWidth="1" min="6" max="6" width="13.38"/>
    <col customWidth="1" min="7" max="7" width="15.25"/>
    <col customWidth="1" min="8" max="8" width="17.25"/>
    <col customWidth="1" min="9" max="9" width="17.63"/>
    <col customWidth="1" min="10" max="10" width="16.63"/>
    <col customWidth="1" min="11" max="11" width="20.25"/>
    <col customWidth="1" hidden="1" min="12" max="13" width="7.63"/>
    <col customWidth="1" min="14" max="26" width="7.63"/>
  </cols>
  <sheetData>
    <row r="1" ht="15.0" customHeight="1">
      <c r="A1" s="60">
        <v>46113.0</v>
      </c>
      <c r="B1" s="2"/>
      <c r="C1" s="2"/>
      <c r="D1" s="2"/>
      <c r="E1" s="2"/>
      <c r="F1" s="2"/>
      <c r="G1" s="2"/>
      <c r="H1" s="2"/>
      <c r="I1" s="2"/>
      <c r="J1" s="2"/>
      <c r="K1" s="3"/>
      <c r="L1" s="61"/>
      <c r="M1" s="62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63"/>
      <c r="M2" s="64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3"/>
      <c r="B3" s="63"/>
      <c r="C3" s="63"/>
      <c r="D3" s="63"/>
      <c r="E3" s="63"/>
      <c r="F3" s="65"/>
      <c r="G3" s="66"/>
      <c r="H3" s="66"/>
      <c r="I3" s="66"/>
      <c r="J3" s="65"/>
      <c r="K3" s="66"/>
      <c r="L3" s="63"/>
      <c r="M3" s="64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3"/>
      <c r="B4" s="63"/>
      <c r="C4" s="63"/>
      <c r="D4" s="63"/>
      <c r="E4" s="63"/>
      <c r="F4" s="65"/>
      <c r="G4" s="66"/>
      <c r="H4" s="66"/>
      <c r="I4" s="66"/>
      <c r="J4" s="65"/>
      <c r="K4" s="66"/>
      <c r="L4" s="63"/>
      <c r="M4" s="64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22.5" customHeight="1">
      <c r="A5" s="11" t="s">
        <v>34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3" t="s">
        <v>7</v>
      </c>
      <c r="H5" s="13" t="s">
        <v>8</v>
      </c>
      <c r="I5" s="13" t="s">
        <v>35</v>
      </c>
      <c r="J5" s="13" t="s">
        <v>36</v>
      </c>
      <c r="K5" s="12" t="s">
        <v>37</v>
      </c>
      <c r="L5" s="63"/>
      <c r="M5" s="64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22.5" customHeight="1">
      <c r="A6" s="21">
        <v>1.0</v>
      </c>
      <c r="B6" s="34" t="str">
        <f>VLOOKUP(A6,Employees!A:B,2,FALSE)</f>
        <v>Rajat Hela</v>
      </c>
      <c r="C6" s="34">
        <f>VLOOKUP(A6,Employees!A:C,3,FALSE)</f>
        <v>9023270731</v>
      </c>
      <c r="D6" s="34" t="str">
        <f>VLOOKUP(A6,Employees!A:D,4,FALSE)</f>
        <v>Production</v>
      </c>
      <c r="E6" s="67" t="str">
        <f>VLOOKUP(A6,Employees!A:E,5,FALSE)</f>
        <v>CNC Machine Operator</v>
      </c>
      <c r="F6" s="68">
        <f>VLOOKUP(A6,Employees!A:F,6,FALSE)</f>
        <v>17000</v>
      </c>
      <c r="G6" s="69">
        <f>VLOOKUP(A6,Employees!A:G,7,FALSE)</f>
        <v>653.8461538</v>
      </c>
      <c r="H6" s="69">
        <f>VLOOKUP(A6,Employees!A:H,8,FALSE)</f>
        <v>59.44055944</v>
      </c>
      <c r="I6" s="70">
        <f>SUMIFS('04-2026'!$L$11:$L$281,
        '04-2026'!$B$11:$B$281,
        $A6)</f>
        <v>259.1</v>
      </c>
      <c r="J6" s="70">
        <f>SUMIFS('04-2026'!$M$11:$M$281,
        '04-2026'!$B$11:$B$281,
        $A6)</f>
        <v>0.3</v>
      </c>
      <c r="K6" s="71">
        <f>('04-2026'!$I6+'04-2026'!$J6)*'04-2026'!$H6</f>
        <v>15418.88112</v>
      </c>
      <c r="L6" s="63"/>
      <c r="M6" s="64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22.5" customHeight="1">
      <c r="A7" s="21">
        <v>2.0</v>
      </c>
      <c r="B7" s="34" t="str">
        <f>VLOOKUP(A7,Employees!A:B,2,FALSE)</f>
        <v>Umesh Kumar</v>
      </c>
      <c r="C7" s="34" t="str">
        <f>VLOOKUP(A7,Employees!A:C,3,FALSE)</f>
        <v/>
      </c>
      <c r="D7" s="34" t="str">
        <f>VLOOKUP(A7,Employees!A:D,4,FALSE)</f>
        <v>Production</v>
      </c>
      <c r="E7" s="67" t="str">
        <f>VLOOKUP(A7,Employees!A:E,5,FALSE)</f>
        <v>CNC Machine Operator</v>
      </c>
      <c r="F7" s="68">
        <f>VLOOKUP(A7,Employees!A:F,6,FALSE)</f>
        <v>18000</v>
      </c>
      <c r="G7" s="69">
        <f>VLOOKUP(A7,Employees!A:G,7,FALSE)</f>
        <v>692.3076923</v>
      </c>
      <c r="H7" s="69">
        <f>VLOOKUP(A7,Employees!A:H,8,FALSE)</f>
        <v>62.93706294</v>
      </c>
      <c r="I7" s="70">
        <f>SUMIFS('04-2026'!$L$11:$L$281,
        '04-2026'!$B$11:$B$281,
        $A7)</f>
        <v>0</v>
      </c>
      <c r="J7" s="70">
        <f>SUMIFS('04-2026'!$M$11:$M$281,
        '04-2026'!$B$11:$B$281,
        $A7)</f>
        <v>0</v>
      </c>
      <c r="K7" s="71">
        <f>('04-2026'!$I7+'04-2026'!$J7)*'04-2026'!$H7</f>
        <v>0</v>
      </c>
      <c r="L7" s="63"/>
      <c r="M7" s="64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22.5" customHeight="1">
      <c r="A8" s="21">
        <v>3.0</v>
      </c>
      <c r="B8" s="34" t="str">
        <f>VLOOKUP(A8,Employees!A:B,2,FALSE)</f>
        <v>Ranjan Kumar</v>
      </c>
      <c r="C8" s="34">
        <f>VLOOKUP(A8,Employees!A:C,3,FALSE)</f>
        <v>6206577886</v>
      </c>
      <c r="D8" s="34" t="str">
        <f>VLOOKUP(A8,Employees!A:D,4,FALSE)</f>
        <v>Production</v>
      </c>
      <c r="E8" s="67" t="str">
        <f>VLOOKUP(A8,Employees!A:E,5,FALSE)</f>
        <v>CNC Machine Operator</v>
      </c>
      <c r="F8" s="68">
        <f>VLOOKUP(A8,Employees!A:F,6,FALSE)</f>
        <v>21000</v>
      </c>
      <c r="G8" s="69">
        <f>VLOOKUP(A8,Employees!A:G,7,FALSE)</f>
        <v>807.6923077</v>
      </c>
      <c r="H8" s="69">
        <f>VLOOKUP(A8,Employees!A:H,8,FALSE)</f>
        <v>73.42657343</v>
      </c>
      <c r="I8" s="70">
        <f>SUMIFS('04-2026'!$L$11:$L$281,
        '04-2026'!$B$11:$B$281,
        $A8)</f>
        <v>189.6</v>
      </c>
      <c r="J8" s="70">
        <f>SUMIFS('04-2026'!$M$11:$M$281,
        '04-2026'!$B$11:$B$281,
        $A8)</f>
        <v>8</v>
      </c>
      <c r="K8" s="71">
        <f>('04-2026'!$I8+'04-2026'!$J8)*'04-2026'!$H8</f>
        <v>14509.09091</v>
      </c>
      <c r="L8" s="63"/>
      <c r="M8" s="64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22.5" customHeight="1">
      <c r="A9" s="21"/>
      <c r="B9" s="118"/>
      <c r="C9" s="34"/>
      <c r="D9" s="34"/>
      <c r="E9" s="67"/>
      <c r="F9" s="106"/>
      <c r="G9" s="69"/>
      <c r="H9" s="69"/>
      <c r="I9" s="70"/>
      <c r="J9" s="70"/>
      <c r="K9" s="71"/>
      <c r="L9" s="63"/>
      <c r="M9" s="64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22.5" customHeight="1">
      <c r="A10" s="107" t="s">
        <v>15</v>
      </c>
      <c r="B10" s="107" t="s">
        <v>1</v>
      </c>
      <c r="C10" s="107" t="s">
        <v>2</v>
      </c>
      <c r="D10" s="108" t="s">
        <v>38</v>
      </c>
      <c r="E10" s="108" t="s">
        <v>39</v>
      </c>
      <c r="F10" s="108" t="s">
        <v>40</v>
      </c>
      <c r="G10" s="108" t="s">
        <v>41</v>
      </c>
      <c r="H10" s="109" t="s">
        <v>42</v>
      </c>
      <c r="I10" s="109" t="s">
        <v>43</v>
      </c>
      <c r="J10" s="107" t="s">
        <v>44</v>
      </c>
      <c r="K10" s="109" t="s">
        <v>45</v>
      </c>
      <c r="L10" s="21" t="s">
        <v>46</v>
      </c>
      <c r="M10" s="21" t="s">
        <v>47</v>
      </c>
      <c r="N10" s="76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22.5" customHeight="1">
      <c r="A11" s="110"/>
      <c r="B11" s="111"/>
      <c r="C11" s="111"/>
      <c r="D11" s="112"/>
      <c r="E11" s="113"/>
      <c r="F11" s="113"/>
      <c r="G11" s="113"/>
      <c r="H11" s="114"/>
      <c r="I11" s="114"/>
      <c r="J11" s="115"/>
      <c r="K11" s="114"/>
      <c r="L11" s="116" t="str">
        <f t="shared" ref="L11:M11" si="1">IF(J11="","",
   IFERROR(
      HOUR(J11)+MINUTE(J11)/100,
      HOUR(TIMEVALUE(SUBSTITUTE(J11,CHAR(160),"")))
      +MINUTE(TIMEVALUE(SUBSTITUTE(J11,CHAR(160),"")))/100
   )
)
</f>
        <v/>
      </c>
      <c r="M11" s="116" t="str">
        <f t="shared" si="1"/>
        <v/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22.5" customHeight="1">
      <c r="A12" s="117">
        <v>46113.0</v>
      </c>
      <c r="B12" s="118"/>
      <c r="C12" s="111"/>
      <c r="D12" s="119"/>
      <c r="E12" s="120"/>
      <c r="F12" s="121"/>
      <c r="G12" s="118" t="s">
        <v>48</v>
      </c>
      <c r="H12" s="114"/>
      <c r="I12" s="114"/>
      <c r="J12" s="115"/>
      <c r="K12" s="114"/>
      <c r="L12" s="116" t="str">
        <f t="shared" ref="L12:L66" si="2">IF(J12="","",
   IFERROR(
      HOUR(MIN(MOD(J12,1), TIME(11,0,0))) +
      MINUTE(MIN(MOD(J12,1), TIME(11,0,0)))/100,
      HOUR(MIN(MOD(TIMEVALUE(SUBSTITUTE(J12,CHAR(160),"")),1), TIME(11,0,0))) +
      MINUTE(MIN(MOD(TIMEVALUE(SUBSTITUTE(J12,CHAR(160),"")),1), TIME(11,0,0)))/100
   )
)
</f>
        <v/>
      </c>
      <c r="M12" s="116" t="str">
        <f t="shared" ref="M12:M66" si="3">IF(K12="","",
   IFERROR(
      HOUR(K12)+MINUTE(K12)/100,
      HOUR(TIMEVALUE(SUBSTITUTE(K12,CHAR(160),"")))
      +MINUTE(TIMEVALUE(SUBSTITUTE(K12,CHAR(160),"")))/100
   )
)
</f>
        <v/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22.5" customHeight="1">
      <c r="A13" s="117">
        <v>46114.0</v>
      </c>
      <c r="B13" s="118">
        <v>1.0</v>
      </c>
      <c r="C13" s="111" t="str">
        <f>VLOOKUP(B13,Employees!A:B,2,FALSE)</f>
        <v>Rajat Hela</v>
      </c>
      <c r="D13" s="119">
        <v>0.3333333333333333</v>
      </c>
      <c r="E13" s="120">
        <v>0.5416666666666666</v>
      </c>
      <c r="F13" s="121">
        <v>0.5833333333333334</v>
      </c>
      <c r="G13" s="121">
        <v>0.7916666666666666</v>
      </c>
      <c r="H13" s="114">
        <f t="shared" ref="H13:H24" si="4">F13 - E13</f>
        <v>0.04166666667</v>
      </c>
      <c r="I13" s="114">
        <f t="shared" ref="I13:I24" si="5">G13 - D13</f>
        <v>0.4583333333</v>
      </c>
      <c r="J13" s="115">
        <f t="shared" ref="J13:J24" si="6">I13 - H13</f>
        <v>0.4166666667</v>
      </c>
      <c r="K13" s="114">
        <f t="shared" ref="K13:K24" si="7">MAX(
  0,
  MOD(
    IFERROR(
      J13,
      TIMEVALUE(SUBSTITUTE(J13,CHAR(160),""))
    ),
    1
  ) - TIME(11,0,0)
)
</f>
        <v>0</v>
      </c>
      <c r="L13" s="116">
        <f t="shared" si="2"/>
        <v>10</v>
      </c>
      <c r="M13" s="116">
        <f t="shared" si="3"/>
        <v>0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22.5" customHeight="1">
      <c r="A14" s="117"/>
      <c r="B14" s="118"/>
      <c r="C14" s="111" t="str">
        <f>VLOOKUP(B14,Employees!A:B,2,FALSE)</f>
        <v>#N/A</v>
      </c>
      <c r="D14" s="121"/>
      <c r="E14" s="120"/>
      <c r="F14" s="121"/>
      <c r="G14" s="121"/>
      <c r="H14" s="114">
        <f t="shared" si="4"/>
        <v>0</v>
      </c>
      <c r="I14" s="114">
        <f t="shared" si="5"/>
        <v>0</v>
      </c>
      <c r="J14" s="115">
        <f t="shared" si="6"/>
        <v>0</v>
      </c>
      <c r="K14" s="114">
        <f t="shared" si="7"/>
        <v>0</v>
      </c>
      <c r="L14" s="116">
        <f t="shared" si="2"/>
        <v>0</v>
      </c>
      <c r="M14" s="116">
        <f t="shared" si="3"/>
        <v>0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22.5" customHeight="1">
      <c r="A15" s="117">
        <v>46115.0</v>
      </c>
      <c r="B15" s="118">
        <v>1.0</v>
      </c>
      <c r="C15" s="111" t="str">
        <f>VLOOKUP(B15,Employees!A:B,2,FALSE)</f>
        <v>Rajat Hela</v>
      </c>
      <c r="D15" s="119">
        <v>0.9166666666666666</v>
      </c>
      <c r="E15" s="120"/>
      <c r="F15" s="121"/>
      <c r="G15" s="121">
        <v>0.05555555555555555</v>
      </c>
      <c r="H15" s="114">
        <f t="shared" si="4"/>
        <v>0</v>
      </c>
      <c r="I15" s="114">
        <f t="shared" si="5"/>
        <v>-0.8611111111</v>
      </c>
      <c r="J15" s="115">
        <f t="shared" si="6"/>
        <v>-0.8611111111</v>
      </c>
      <c r="K15" s="114">
        <f t="shared" si="7"/>
        <v>0</v>
      </c>
      <c r="L15" s="116">
        <f t="shared" si="2"/>
        <v>3.2</v>
      </c>
      <c r="M15" s="116">
        <f t="shared" si="3"/>
        <v>0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22.5" customHeight="1">
      <c r="A16" s="117"/>
      <c r="B16" s="118"/>
      <c r="C16" s="111" t="str">
        <f>VLOOKUP(B16,Employees!A:B,2,FALSE)</f>
        <v>#N/A</v>
      </c>
      <c r="D16" s="121"/>
      <c r="E16" s="120"/>
      <c r="F16" s="121"/>
      <c r="G16" s="121"/>
      <c r="H16" s="114">
        <f t="shared" si="4"/>
        <v>0</v>
      </c>
      <c r="I16" s="114">
        <f t="shared" si="5"/>
        <v>0</v>
      </c>
      <c r="J16" s="115">
        <f t="shared" si="6"/>
        <v>0</v>
      </c>
      <c r="K16" s="114">
        <f t="shared" si="7"/>
        <v>0</v>
      </c>
      <c r="L16" s="116">
        <f t="shared" si="2"/>
        <v>0</v>
      </c>
      <c r="M16" s="116">
        <f t="shared" si="3"/>
        <v>0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22.5" customHeight="1">
      <c r="A17" s="117">
        <v>46116.0</v>
      </c>
      <c r="B17" s="118">
        <v>1.0</v>
      </c>
      <c r="C17" s="111" t="str">
        <f>VLOOKUP(B17,Employees!A:B,2,FALSE)</f>
        <v>Rajat Hela</v>
      </c>
      <c r="D17" s="119">
        <v>0.3333333333333333</v>
      </c>
      <c r="E17" s="120">
        <v>0.5416666666666666</v>
      </c>
      <c r="F17" s="121">
        <v>0.5833333333333334</v>
      </c>
      <c r="G17" s="121">
        <v>0.8333333333333334</v>
      </c>
      <c r="H17" s="114">
        <f t="shared" si="4"/>
        <v>0.04166666667</v>
      </c>
      <c r="I17" s="114">
        <f t="shared" si="5"/>
        <v>0.5</v>
      </c>
      <c r="J17" s="115">
        <f t="shared" si="6"/>
        <v>0.4583333333</v>
      </c>
      <c r="K17" s="114">
        <f t="shared" si="7"/>
        <v>0</v>
      </c>
      <c r="L17" s="116">
        <f t="shared" si="2"/>
        <v>11</v>
      </c>
      <c r="M17" s="116">
        <f t="shared" si="3"/>
        <v>0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22.5" customHeight="1">
      <c r="A18" s="117"/>
      <c r="B18" s="118">
        <v>1.0</v>
      </c>
      <c r="C18" s="111" t="str">
        <f>VLOOKUP(B18,Employees!A:B,2,FALSE)</f>
        <v>Rajat Hela</v>
      </c>
      <c r="D18" s="121">
        <v>0.8333333333333334</v>
      </c>
      <c r="E18" s="120"/>
      <c r="F18" s="121"/>
      <c r="G18" s="121">
        <v>0.9583333333333334</v>
      </c>
      <c r="H18" s="114">
        <f t="shared" si="4"/>
        <v>0</v>
      </c>
      <c r="I18" s="114">
        <f t="shared" si="5"/>
        <v>0.125</v>
      </c>
      <c r="J18" s="115">
        <f t="shared" si="6"/>
        <v>0.125</v>
      </c>
      <c r="K18" s="114">
        <f t="shared" si="7"/>
        <v>0</v>
      </c>
      <c r="L18" s="116">
        <f t="shared" si="2"/>
        <v>3</v>
      </c>
      <c r="M18" s="116">
        <f t="shared" si="3"/>
        <v>0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22.5" customHeight="1">
      <c r="A19" s="117">
        <v>46117.0</v>
      </c>
      <c r="B19" s="118">
        <v>1.0</v>
      </c>
      <c r="C19" s="111" t="str">
        <f>VLOOKUP(B19,Employees!A:B,2,FALSE)</f>
        <v>Rajat Hela</v>
      </c>
      <c r="D19" s="119">
        <v>0.3333333333333333</v>
      </c>
      <c r="E19" s="120">
        <v>0.5416666666666666</v>
      </c>
      <c r="F19" s="121">
        <v>0.5833333333333334</v>
      </c>
      <c r="G19" s="121">
        <v>0.8333333333333334</v>
      </c>
      <c r="H19" s="114">
        <f t="shared" si="4"/>
        <v>0.04166666667</v>
      </c>
      <c r="I19" s="114">
        <f t="shared" si="5"/>
        <v>0.5</v>
      </c>
      <c r="J19" s="115">
        <f t="shared" si="6"/>
        <v>0.4583333333</v>
      </c>
      <c r="K19" s="114">
        <f t="shared" si="7"/>
        <v>0</v>
      </c>
      <c r="L19" s="116">
        <f t="shared" si="2"/>
        <v>11</v>
      </c>
      <c r="M19" s="116">
        <f t="shared" si="3"/>
        <v>0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22.5" customHeight="1">
      <c r="A20" s="117"/>
      <c r="B20" s="118">
        <v>1.0</v>
      </c>
      <c r="C20" s="111" t="str">
        <f>VLOOKUP(B20,Employees!A:B,2,FALSE)</f>
        <v>Rajat Hela</v>
      </c>
      <c r="D20" s="121">
        <v>0.8333333333333334</v>
      </c>
      <c r="E20" s="120"/>
      <c r="F20" s="121"/>
      <c r="G20" s="121">
        <v>0.9375</v>
      </c>
      <c r="H20" s="114">
        <f t="shared" si="4"/>
        <v>0</v>
      </c>
      <c r="I20" s="114">
        <f t="shared" si="5"/>
        <v>0.1041666667</v>
      </c>
      <c r="J20" s="115">
        <f t="shared" si="6"/>
        <v>0.1041666667</v>
      </c>
      <c r="K20" s="114">
        <f t="shared" si="7"/>
        <v>0</v>
      </c>
      <c r="L20" s="116">
        <f t="shared" si="2"/>
        <v>2.3</v>
      </c>
      <c r="M20" s="116">
        <f t="shared" si="3"/>
        <v>0</v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22.5" customHeight="1">
      <c r="A21" s="117">
        <v>46118.0</v>
      </c>
      <c r="B21" s="118">
        <v>1.0</v>
      </c>
      <c r="C21" s="111" t="str">
        <f>VLOOKUP(B21,Employees!A:B,2,FALSE)</f>
        <v>Rajat Hela</v>
      </c>
      <c r="D21" s="119">
        <v>0.3333333333333333</v>
      </c>
      <c r="E21" s="120">
        <v>0.5416666666666666</v>
      </c>
      <c r="F21" s="121">
        <v>0.5833333333333334</v>
      </c>
      <c r="G21" s="121">
        <v>0.8333333333333334</v>
      </c>
      <c r="H21" s="114">
        <f t="shared" si="4"/>
        <v>0.04166666667</v>
      </c>
      <c r="I21" s="114">
        <f t="shared" si="5"/>
        <v>0.5</v>
      </c>
      <c r="J21" s="115">
        <f t="shared" si="6"/>
        <v>0.4583333333</v>
      </c>
      <c r="K21" s="114">
        <f t="shared" si="7"/>
        <v>0</v>
      </c>
      <c r="L21" s="116">
        <f t="shared" si="2"/>
        <v>11</v>
      </c>
      <c r="M21" s="116">
        <f t="shared" si="3"/>
        <v>0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22.5" customHeight="1">
      <c r="A22" s="117"/>
      <c r="B22" s="118">
        <v>1.0</v>
      </c>
      <c r="C22" s="111" t="str">
        <f>VLOOKUP(B22,Employees!A:B,2,FALSE)</f>
        <v>Rajat Hela</v>
      </c>
      <c r="D22" s="121">
        <v>0.8333333333333334</v>
      </c>
      <c r="E22" s="120"/>
      <c r="F22" s="121"/>
      <c r="G22" s="121">
        <v>0.9375</v>
      </c>
      <c r="H22" s="114">
        <f t="shared" si="4"/>
        <v>0</v>
      </c>
      <c r="I22" s="114">
        <f t="shared" si="5"/>
        <v>0.1041666667</v>
      </c>
      <c r="J22" s="115">
        <f t="shared" si="6"/>
        <v>0.1041666667</v>
      </c>
      <c r="K22" s="114">
        <f t="shared" si="7"/>
        <v>0</v>
      </c>
      <c r="L22" s="116">
        <f t="shared" si="2"/>
        <v>2.3</v>
      </c>
      <c r="M22" s="116">
        <f t="shared" si="3"/>
        <v>0</v>
      </c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22.5" customHeight="1">
      <c r="A23" s="117">
        <v>46119.0</v>
      </c>
      <c r="B23" s="118">
        <v>1.0</v>
      </c>
      <c r="C23" s="111" t="str">
        <f>VLOOKUP(B23,Employees!A:B,2,FALSE)</f>
        <v>Rajat Hela</v>
      </c>
      <c r="D23" s="119">
        <v>0.3333333333333333</v>
      </c>
      <c r="E23" s="120">
        <v>0.5590277777777778</v>
      </c>
      <c r="F23" s="121">
        <v>0.6006944444444444</v>
      </c>
      <c r="G23" s="121">
        <v>0.8541666666666666</v>
      </c>
      <c r="H23" s="114">
        <f t="shared" si="4"/>
        <v>0.04166666667</v>
      </c>
      <c r="I23" s="114">
        <f t="shared" si="5"/>
        <v>0.5208333333</v>
      </c>
      <c r="J23" s="115">
        <f t="shared" si="6"/>
        <v>0.4791666667</v>
      </c>
      <c r="K23" s="114">
        <f t="shared" si="7"/>
        <v>0.02083333333</v>
      </c>
      <c r="L23" s="116">
        <f t="shared" si="2"/>
        <v>11</v>
      </c>
      <c r="M23" s="116">
        <f t="shared" si="3"/>
        <v>0.3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22.5" customHeight="1">
      <c r="A24" s="117"/>
      <c r="B24" s="118"/>
      <c r="C24" s="111" t="str">
        <f>VLOOKUP(B24,Employees!A:B,2,FALSE)</f>
        <v>#N/A</v>
      </c>
      <c r="D24" s="121"/>
      <c r="E24" s="120"/>
      <c r="F24" s="121"/>
      <c r="G24" s="121"/>
      <c r="H24" s="114">
        <f t="shared" si="4"/>
        <v>0</v>
      </c>
      <c r="I24" s="114">
        <f t="shared" si="5"/>
        <v>0</v>
      </c>
      <c r="J24" s="115">
        <f t="shared" si="6"/>
        <v>0</v>
      </c>
      <c r="K24" s="114">
        <f t="shared" si="7"/>
        <v>0</v>
      </c>
      <c r="L24" s="116">
        <f t="shared" si="2"/>
        <v>0</v>
      </c>
      <c r="M24" s="116">
        <f t="shared" si="3"/>
        <v>0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22.5" customHeight="1">
      <c r="A25" s="117">
        <v>46120.0</v>
      </c>
      <c r="B25" s="118"/>
      <c r="C25" s="111"/>
      <c r="D25" s="119"/>
      <c r="E25" s="120"/>
      <c r="F25" s="121"/>
      <c r="G25" s="118" t="s">
        <v>48</v>
      </c>
      <c r="H25" s="114"/>
      <c r="I25" s="114"/>
      <c r="J25" s="115"/>
      <c r="K25" s="114"/>
      <c r="L25" s="116" t="str">
        <f t="shared" si="2"/>
        <v/>
      </c>
      <c r="M25" s="116" t="str">
        <f t="shared" si="3"/>
        <v/>
      </c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22.5" customHeight="1">
      <c r="A26" s="117">
        <v>46121.0</v>
      </c>
      <c r="B26" s="118">
        <v>1.0</v>
      </c>
      <c r="C26" s="111" t="str">
        <f>VLOOKUP(B26,Employees!A:B,2,FALSE)</f>
        <v>Rajat Hela</v>
      </c>
      <c r="D26" s="119">
        <v>0.3333333333333333</v>
      </c>
      <c r="E26" s="120">
        <v>0.5416666666666666</v>
      </c>
      <c r="F26" s="121">
        <v>0.5833333333333334</v>
      </c>
      <c r="G26" s="121">
        <v>0.8333333333333334</v>
      </c>
      <c r="H26" s="114">
        <f t="shared" ref="H26:H37" si="8">F26 - E26</f>
        <v>0.04166666667</v>
      </c>
      <c r="I26" s="114">
        <f t="shared" ref="I26:I37" si="9">G26 - D26</f>
        <v>0.5</v>
      </c>
      <c r="J26" s="115">
        <f t="shared" ref="J26:J37" si="10">I26 - H26</f>
        <v>0.4583333333</v>
      </c>
      <c r="K26" s="114">
        <f t="shared" ref="K26:K37" si="11">MAX(
  0,
  MOD(
    IFERROR(
      J26,
      TIMEVALUE(SUBSTITUTE(J26,CHAR(160),""))
    ),
    1
  ) - TIME(11,0,0)
)
</f>
        <v>0</v>
      </c>
      <c r="L26" s="116">
        <f t="shared" si="2"/>
        <v>11</v>
      </c>
      <c r="M26" s="116">
        <f t="shared" si="3"/>
        <v>0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22.5" customHeight="1">
      <c r="A27" s="117"/>
      <c r="B27" s="118" t="s">
        <v>22</v>
      </c>
      <c r="C27" s="118" t="s">
        <v>52</v>
      </c>
      <c r="D27" s="121">
        <v>0.7291666666666666</v>
      </c>
      <c r="E27" s="120"/>
      <c r="F27" s="121"/>
      <c r="G27" s="121">
        <v>0.125</v>
      </c>
      <c r="H27" s="114">
        <f t="shared" si="8"/>
        <v>0</v>
      </c>
      <c r="I27" s="114">
        <f t="shared" si="9"/>
        <v>-0.6041666667</v>
      </c>
      <c r="J27" s="115">
        <f t="shared" si="10"/>
        <v>-0.6041666667</v>
      </c>
      <c r="K27" s="114">
        <f t="shared" si="11"/>
        <v>0</v>
      </c>
      <c r="L27" s="116">
        <f t="shared" si="2"/>
        <v>9.3</v>
      </c>
      <c r="M27" s="116">
        <f t="shared" si="3"/>
        <v>0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22.5" customHeight="1">
      <c r="A28" s="117">
        <v>46122.0</v>
      </c>
      <c r="B28" s="118">
        <v>1.0</v>
      </c>
      <c r="C28" s="111" t="str">
        <f>VLOOKUP(B28,Employees!A:B,2,FALSE)</f>
        <v>Rajat Hela</v>
      </c>
      <c r="D28" s="119">
        <v>0.3333333333333333</v>
      </c>
      <c r="E28" s="120">
        <v>0.5416666666666666</v>
      </c>
      <c r="F28" s="121">
        <v>0.5833333333333334</v>
      </c>
      <c r="G28" s="121">
        <v>0.8333333333333334</v>
      </c>
      <c r="H28" s="114">
        <f t="shared" si="8"/>
        <v>0.04166666667</v>
      </c>
      <c r="I28" s="114">
        <f t="shared" si="9"/>
        <v>0.5</v>
      </c>
      <c r="J28" s="115">
        <f t="shared" si="10"/>
        <v>0.4583333333</v>
      </c>
      <c r="K28" s="114">
        <f t="shared" si="11"/>
        <v>0</v>
      </c>
      <c r="L28" s="116">
        <f t="shared" si="2"/>
        <v>11</v>
      </c>
      <c r="M28" s="116">
        <f t="shared" si="3"/>
        <v>0</v>
      </c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22.5" customHeight="1">
      <c r="A29" s="117"/>
      <c r="B29" s="118" t="s">
        <v>22</v>
      </c>
      <c r="C29" s="118" t="s">
        <v>52</v>
      </c>
      <c r="D29" s="121">
        <v>0.8333333333333334</v>
      </c>
      <c r="E29" s="120"/>
      <c r="F29" s="121"/>
      <c r="G29" s="121">
        <v>0.041666666666666664</v>
      </c>
      <c r="H29" s="114">
        <f t="shared" si="8"/>
        <v>0</v>
      </c>
      <c r="I29" s="114">
        <f t="shared" si="9"/>
        <v>-0.7916666667</v>
      </c>
      <c r="J29" s="115">
        <f t="shared" si="10"/>
        <v>-0.7916666667</v>
      </c>
      <c r="K29" s="114">
        <f t="shared" si="11"/>
        <v>0</v>
      </c>
      <c r="L29" s="116">
        <f t="shared" si="2"/>
        <v>5</v>
      </c>
      <c r="M29" s="116">
        <f t="shared" si="3"/>
        <v>0</v>
      </c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22.5" customHeight="1">
      <c r="A30" s="117">
        <v>46123.0</v>
      </c>
      <c r="B30" s="118">
        <v>1.0</v>
      </c>
      <c r="C30" s="111" t="str">
        <f>VLOOKUP(B30,Employees!A:B,2,FALSE)</f>
        <v>Rajat Hela</v>
      </c>
      <c r="D30" s="119">
        <v>0.3333333333333333</v>
      </c>
      <c r="E30" s="120">
        <v>0.5416666666666666</v>
      </c>
      <c r="F30" s="121">
        <v>0.5833333333333334</v>
      </c>
      <c r="G30" s="121">
        <v>0.8333333333333334</v>
      </c>
      <c r="H30" s="114">
        <f t="shared" si="8"/>
        <v>0.04166666667</v>
      </c>
      <c r="I30" s="114">
        <f t="shared" si="9"/>
        <v>0.5</v>
      </c>
      <c r="J30" s="115">
        <f t="shared" si="10"/>
        <v>0.4583333333</v>
      </c>
      <c r="K30" s="114">
        <f t="shared" si="11"/>
        <v>0</v>
      </c>
      <c r="L30" s="116">
        <f t="shared" si="2"/>
        <v>11</v>
      </c>
      <c r="M30" s="116">
        <f t="shared" si="3"/>
        <v>0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22.5" customHeight="1">
      <c r="A31" s="117"/>
      <c r="B31" s="118">
        <v>3.0</v>
      </c>
      <c r="C31" s="111" t="str">
        <f>VLOOKUP(B31,Employees!A:B,2,FALSE)</f>
        <v>Ranjan Kumar</v>
      </c>
      <c r="D31" s="121">
        <v>0.8333333333333334</v>
      </c>
      <c r="E31" s="120"/>
      <c r="F31" s="121"/>
      <c r="G31" s="121">
        <v>0.2916666666666667</v>
      </c>
      <c r="H31" s="114">
        <f t="shared" si="8"/>
        <v>0</v>
      </c>
      <c r="I31" s="114">
        <f t="shared" si="9"/>
        <v>-0.5416666667</v>
      </c>
      <c r="J31" s="115">
        <f t="shared" si="10"/>
        <v>-0.5416666667</v>
      </c>
      <c r="K31" s="114">
        <f t="shared" si="11"/>
        <v>0</v>
      </c>
      <c r="L31" s="116">
        <f t="shared" si="2"/>
        <v>11</v>
      </c>
      <c r="M31" s="116">
        <f t="shared" si="3"/>
        <v>0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22.5" customHeight="1">
      <c r="A32" s="117">
        <v>46124.0</v>
      </c>
      <c r="B32" s="118">
        <v>1.0</v>
      </c>
      <c r="C32" s="111" t="str">
        <f>VLOOKUP(B32,Employees!A:B,2,FALSE)</f>
        <v>Rajat Hela</v>
      </c>
      <c r="D32" s="119">
        <v>0.3333333333333333</v>
      </c>
      <c r="E32" s="120">
        <v>0.5416666666666666</v>
      </c>
      <c r="F32" s="121">
        <v>0.5833333333333334</v>
      </c>
      <c r="G32" s="121">
        <v>0.8333333333333334</v>
      </c>
      <c r="H32" s="114">
        <f t="shared" si="8"/>
        <v>0.04166666667</v>
      </c>
      <c r="I32" s="114">
        <f t="shared" si="9"/>
        <v>0.5</v>
      </c>
      <c r="J32" s="115">
        <f t="shared" si="10"/>
        <v>0.4583333333</v>
      </c>
      <c r="K32" s="114">
        <f t="shared" si="11"/>
        <v>0</v>
      </c>
      <c r="L32" s="116">
        <f t="shared" si="2"/>
        <v>11</v>
      </c>
      <c r="M32" s="116">
        <f t="shared" si="3"/>
        <v>0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22.5" customHeight="1">
      <c r="A33" s="117"/>
      <c r="B33" s="118">
        <v>3.0</v>
      </c>
      <c r="C33" s="111" t="str">
        <f>VLOOKUP(B33,Employees!A:B,2,FALSE)</f>
        <v>Ranjan Kumar</v>
      </c>
      <c r="D33" s="121">
        <v>0.8333333333333334</v>
      </c>
      <c r="E33" s="120"/>
      <c r="F33" s="121"/>
      <c r="G33" s="121">
        <v>0.2916666666666667</v>
      </c>
      <c r="H33" s="114">
        <f t="shared" si="8"/>
        <v>0</v>
      </c>
      <c r="I33" s="114">
        <f t="shared" si="9"/>
        <v>-0.5416666667</v>
      </c>
      <c r="J33" s="115">
        <f t="shared" si="10"/>
        <v>-0.5416666667</v>
      </c>
      <c r="K33" s="114">
        <f t="shared" si="11"/>
        <v>0</v>
      </c>
      <c r="L33" s="116">
        <f t="shared" si="2"/>
        <v>11</v>
      </c>
      <c r="M33" s="116">
        <f t="shared" si="3"/>
        <v>0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22.5" customHeight="1">
      <c r="A34" s="117">
        <v>46125.0</v>
      </c>
      <c r="B34" s="118">
        <v>1.0</v>
      </c>
      <c r="C34" s="111" t="str">
        <f>VLOOKUP(B34,Employees!A:B,2,FALSE)</f>
        <v>Rajat Hela</v>
      </c>
      <c r="D34" s="119">
        <v>0.3333333333333333</v>
      </c>
      <c r="E34" s="120">
        <v>0.5416666666666666</v>
      </c>
      <c r="F34" s="121">
        <v>0.5833333333333334</v>
      </c>
      <c r="G34" s="121">
        <v>0.8333333333333334</v>
      </c>
      <c r="H34" s="114">
        <f t="shared" si="8"/>
        <v>0.04166666667</v>
      </c>
      <c r="I34" s="114">
        <f t="shared" si="9"/>
        <v>0.5</v>
      </c>
      <c r="J34" s="115">
        <f t="shared" si="10"/>
        <v>0.4583333333</v>
      </c>
      <c r="K34" s="114">
        <f t="shared" si="11"/>
        <v>0</v>
      </c>
      <c r="L34" s="116">
        <f t="shared" si="2"/>
        <v>11</v>
      </c>
      <c r="M34" s="116">
        <f t="shared" si="3"/>
        <v>0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22.5" customHeight="1">
      <c r="A35" s="117"/>
      <c r="B35" s="118">
        <v>3.0</v>
      </c>
      <c r="C35" s="111" t="str">
        <f>VLOOKUP(B35,Employees!A:B,2,FALSE)</f>
        <v>Ranjan Kumar</v>
      </c>
      <c r="D35" s="121">
        <v>0.8333333333333334</v>
      </c>
      <c r="E35" s="120"/>
      <c r="F35" s="121"/>
      <c r="G35" s="121">
        <v>0.2916666666666667</v>
      </c>
      <c r="H35" s="114">
        <f t="shared" si="8"/>
        <v>0</v>
      </c>
      <c r="I35" s="114">
        <f t="shared" si="9"/>
        <v>-0.5416666667</v>
      </c>
      <c r="J35" s="115">
        <f t="shared" si="10"/>
        <v>-0.5416666667</v>
      </c>
      <c r="K35" s="114">
        <f t="shared" si="11"/>
        <v>0</v>
      </c>
      <c r="L35" s="116">
        <f t="shared" si="2"/>
        <v>11</v>
      </c>
      <c r="M35" s="116">
        <f t="shared" si="3"/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22.5" customHeight="1">
      <c r="A36" s="117">
        <v>46126.0</v>
      </c>
      <c r="B36" s="118">
        <v>1.0</v>
      </c>
      <c r="C36" s="111" t="str">
        <f>VLOOKUP(B36,Employees!A:B,2,FALSE)</f>
        <v>Rajat Hela</v>
      </c>
      <c r="D36" s="119">
        <v>0.3333333333333333</v>
      </c>
      <c r="E36" s="120">
        <v>0.5416666666666666</v>
      </c>
      <c r="F36" s="121">
        <v>0.5833333333333334</v>
      </c>
      <c r="G36" s="121">
        <v>0.8333333333333334</v>
      </c>
      <c r="H36" s="114">
        <f t="shared" si="8"/>
        <v>0.04166666667</v>
      </c>
      <c r="I36" s="114">
        <f t="shared" si="9"/>
        <v>0.5</v>
      </c>
      <c r="J36" s="115">
        <f t="shared" si="10"/>
        <v>0.4583333333</v>
      </c>
      <c r="K36" s="114">
        <f t="shared" si="11"/>
        <v>0</v>
      </c>
      <c r="L36" s="116">
        <f t="shared" si="2"/>
        <v>11</v>
      </c>
      <c r="M36" s="116">
        <f t="shared" si="3"/>
        <v>0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22.5" customHeight="1">
      <c r="A37" s="117"/>
      <c r="B37" s="118">
        <v>3.0</v>
      </c>
      <c r="C37" s="111" t="str">
        <f>VLOOKUP(B37,Employees!A:B,2,FALSE)</f>
        <v>Ranjan Kumar</v>
      </c>
      <c r="D37" s="121">
        <v>0.8333333333333334</v>
      </c>
      <c r="E37" s="120"/>
      <c r="F37" s="121"/>
      <c r="G37" s="121">
        <v>0.2916666666666667</v>
      </c>
      <c r="H37" s="114">
        <f t="shared" si="8"/>
        <v>0</v>
      </c>
      <c r="I37" s="114">
        <f t="shared" si="9"/>
        <v>-0.5416666667</v>
      </c>
      <c r="J37" s="115">
        <f t="shared" si="10"/>
        <v>-0.5416666667</v>
      </c>
      <c r="K37" s="114">
        <f t="shared" si="11"/>
        <v>0</v>
      </c>
      <c r="L37" s="116">
        <f t="shared" si="2"/>
        <v>11</v>
      </c>
      <c r="M37" s="116">
        <f t="shared" si="3"/>
        <v>0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117">
        <v>46127.0</v>
      </c>
      <c r="B38" s="118">
        <v>1.0</v>
      </c>
      <c r="C38" s="111" t="str">
        <f>VLOOKUP(B38,Employees!A:B,2,FALSE)</f>
        <v>Rajat Hela</v>
      </c>
      <c r="D38" s="119">
        <v>0.3541666666666667</v>
      </c>
      <c r="E38" s="120"/>
      <c r="F38" s="121"/>
      <c r="G38" s="121">
        <v>0.5625</v>
      </c>
      <c r="H38" s="122">
        <v>0.0</v>
      </c>
      <c r="I38" s="122">
        <v>0.20833333333333334</v>
      </c>
      <c r="J38" s="123">
        <v>0.20833333333333334</v>
      </c>
      <c r="K38" s="122">
        <v>0.0</v>
      </c>
      <c r="L38" s="116">
        <f t="shared" si="2"/>
        <v>5</v>
      </c>
      <c r="M38" s="116">
        <f t="shared" si="3"/>
        <v>0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117"/>
      <c r="B39" s="118">
        <v>3.0</v>
      </c>
      <c r="C39" s="111" t="str">
        <f>VLOOKUP(B39,Employees!A:B,2,FALSE)</f>
        <v>Ranjan Kumar</v>
      </c>
      <c r="D39" s="119">
        <v>0.7916666666666666</v>
      </c>
      <c r="E39" s="120"/>
      <c r="F39" s="121"/>
      <c r="G39" s="121">
        <v>0.10416666666666667</v>
      </c>
      <c r="H39" s="114">
        <f t="shared" ref="H39:H50" si="12">F39 - E39</f>
        <v>0</v>
      </c>
      <c r="I39" s="114">
        <f t="shared" ref="I39:I50" si="13">G39 - D39</f>
        <v>-0.6875</v>
      </c>
      <c r="J39" s="115">
        <f t="shared" ref="J39:J50" si="14">I39 - H39</f>
        <v>-0.6875</v>
      </c>
      <c r="K39" s="114">
        <f t="shared" ref="K39:K50" si="15">MAX(
  0,
  MOD(
    IFERROR(
      J39,
      TIMEVALUE(SUBSTITUTE(J39,CHAR(160),""))
    ),
    1
  ) - TIME(11,0,0)
)
</f>
        <v>0</v>
      </c>
      <c r="L39" s="116">
        <f t="shared" si="2"/>
        <v>7.3</v>
      </c>
      <c r="M39" s="116">
        <f t="shared" si="3"/>
        <v>0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117">
        <v>46128.0</v>
      </c>
      <c r="B40" s="118">
        <v>1.0</v>
      </c>
      <c r="C40" s="111" t="str">
        <f>VLOOKUP(B40,Employees!A:B,2,FALSE)</f>
        <v>Rajat Hela</v>
      </c>
      <c r="D40" s="119">
        <v>0.3333333333333333</v>
      </c>
      <c r="E40" s="120">
        <v>0.5416666666666666</v>
      </c>
      <c r="F40" s="121">
        <v>0.5833333333333334</v>
      </c>
      <c r="G40" s="121">
        <v>0.8333333333333334</v>
      </c>
      <c r="H40" s="114">
        <f t="shared" si="12"/>
        <v>0.04166666667</v>
      </c>
      <c r="I40" s="114">
        <f t="shared" si="13"/>
        <v>0.5</v>
      </c>
      <c r="J40" s="115">
        <f t="shared" si="14"/>
        <v>0.4583333333</v>
      </c>
      <c r="K40" s="114">
        <f t="shared" si="15"/>
        <v>0</v>
      </c>
      <c r="L40" s="116">
        <f t="shared" si="2"/>
        <v>11</v>
      </c>
      <c r="M40" s="116">
        <f t="shared" si="3"/>
        <v>0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117"/>
      <c r="B41" s="118">
        <v>3.0</v>
      </c>
      <c r="C41" s="111" t="str">
        <f>VLOOKUP(B41,Employees!A:B,2,FALSE)</f>
        <v>Ranjan Kumar</v>
      </c>
      <c r="D41" s="121">
        <v>0.8333333333333334</v>
      </c>
      <c r="E41" s="120"/>
      <c r="F41" s="121"/>
      <c r="G41" s="121">
        <v>0.2916666666666667</v>
      </c>
      <c r="H41" s="114">
        <f t="shared" si="12"/>
        <v>0</v>
      </c>
      <c r="I41" s="114">
        <f t="shared" si="13"/>
        <v>-0.5416666667</v>
      </c>
      <c r="J41" s="115">
        <f t="shared" si="14"/>
        <v>-0.5416666667</v>
      </c>
      <c r="K41" s="114">
        <f t="shared" si="15"/>
        <v>0</v>
      </c>
      <c r="L41" s="116">
        <f t="shared" si="2"/>
        <v>11</v>
      </c>
      <c r="M41" s="116">
        <f t="shared" si="3"/>
        <v>0</v>
      </c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117">
        <v>46129.0</v>
      </c>
      <c r="B42" s="118">
        <v>1.0</v>
      </c>
      <c r="C42" s="111" t="str">
        <f>VLOOKUP(B42,Employees!A:B,2,FALSE)</f>
        <v>Rajat Hela</v>
      </c>
      <c r="D42" s="119">
        <v>0.3333333333333333</v>
      </c>
      <c r="E42" s="120">
        <v>0.5416666666666666</v>
      </c>
      <c r="F42" s="121">
        <v>0.5833333333333334</v>
      </c>
      <c r="G42" s="121">
        <v>0.7916666666666666</v>
      </c>
      <c r="H42" s="114">
        <f t="shared" si="12"/>
        <v>0.04166666667</v>
      </c>
      <c r="I42" s="114">
        <f t="shared" si="13"/>
        <v>0.4583333333</v>
      </c>
      <c r="J42" s="115">
        <f t="shared" si="14"/>
        <v>0.4166666667</v>
      </c>
      <c r="K42" s="114">
        <f t="shared" si="15"/>
        <v>0</v>
      </c>
      <c r="L42" s="116">
        <f t="shared" si="2"/>
        <v>10</v>
      </c>
      <c r="M42" s="116">
        <f t="shared" si="3"/>
        <v>0</v>
      </c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117"/>
      <c r="B43" s="118">
        <v>3.0</v>
      </c>
      <c r="C43" s="111" t="str">
        <f>VLOOKUP(B43,Employees!A:B,2,FALSE)</f>
        <v>Ranjan Kumar</v>
      </c>
      <c r="D43" s="121">
        <v>0.7916666666666666</v>
      </c>
      <c r="E43" s="120"/>
      <c r="F43" s="121"/>
      <c r="G43" s="121">
        <v>0.3333333333333333</v>
      </c>
      <c r="H43" s="114">
        <f t="shared" si="12"/>
        <v>0</v>
      </c>
      <c r="I43" s="114">
        <f t="shared" si="13"/>
        <v>-0.4583333333</v>
      </c>
      <c r="J43" s="115">
        <f t="shared" si="14"/>
        <v>-0.4583333333</v>
      </c>
      <c r="K43" s="114">
        <f t="shared" si="15"/>
        <v>0.08333333333</v>
      </c>
      <c r="L43" s="116">
        <f t="shared" si="2"/>
        <v>11</v>
      </c>
      <c r="M43" s="116">
        <f t="shared" si="3"/>
        <v>2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117">
        <v>46130.0</v>
      </c>
      <c r="B44" s="118">
        <v>1.0</v>
      </c>
      <c r="C44" s="111" t="str">
        <f>VLOOKUP(B44,Employees!A:B,2,FALSE)</f>
        <v>Rajat Hela</v>
      </c>
      <c r="D44" s="119">
        <v>0.3333333333333333</v>
      </c>
      <c r="E44" s="120">
        <v>0.5416666666666666</v>
      </c>
      <c r="F44" s="121">
        <v>0.5833333333333334</v>
      </c>
      <c r="G44" s="121">
        <v>0.75</v>
      </c>
      <c r="H44" s="114">
        <f t="shared" si="12"/>
        <v>0.04166666667</v>
      </c>
      <c r="I44" s="114">
        <f t="shared" si="13"/>
        <v>0.4166666667</v>
      </c>
      <c r="J44" s="115">
        <f t="shared" si="14"/>
        <v>0.375</v>
      </c>
      <c r="K44" s="114">
        <f t="shared" si="15"/>
        <v>0</v>
      </c>
      <c r="L44" s="116">
        <f t="shared" si="2"/>
        <v>9</v>
      </c>
      <c r="M44" s="116">
        <f t="shared" si="3"/>
        <v>0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117"/>
      <c r="B45" s="118">
        <v>3.0</v>
      </c>
      <c r="C45" s="111" t="str">
        <f>VLOOKUP(B45,Employees!A:B,2,FALSE)</f>
        <v>Ranjan Kumar</v>
      </c>
      <c r="D45" s="121">
        <v>0.7916666666666666</v>
      </c>
      <c r="E45" s="120"/>
      <c r="F45" s="121"/>
      <c r="G45" s="121">
        <v>0.25</v>
      </c>
      <c r="H45" s="114">
        <f t="shared" si="12"/>
        <v>0</v>
      </c>
      <c r="I45" s="114">
        <f t="shared" si="13"/>
        <v>-0.5416666667</v>
      </c>
      <c r="J45" s="115">
        <f t="shared" si="14"/>
        <v>-0.5416666667</v>
      </c>
      <c r="K45" s="114">
        <f t="shared" si="15"/>
        <v>0</v>
      </c>
      <c r="L45" s="116">
        <f t="shared" si="2"/>
        <v>11</v>
      </c>
      <c r="M45" s="116">
        <f t="shared" si="3"/>
        <v>0</v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117">
        <v>46131.0</v>
      </c>
      <c r="B46" s="118">
        <v>3.0</v>
      </c>
      <c r="C46" s="111" t="str">
        <f>VLOOKUP(B46,Employees!A:B,2,FALSE)</f>
        <v>Ranjan Kumar</v>
      </c>
      <c r="D46" s="121">
        <v>0.5416666666666666</v>
      </c>
      <c r="E46" s="120"/>
      <c r="F46" s="121"/>
      <c r="G46" s="121">
        <v>0.041666666666666664</v>
      </c>
      <c r="H46" s="114">
        <f t="shared" si="12"/>
        <v>0</v>
      </c>
      <c r="I46" s="114">
        <f t="shared" si="13"/>
        <v>-0.5</v>
      </c>
      <c r="J46" s="115">
        <f t="shared" si="14"/>
        <v>-0.5</v>
      </c>
      <c r="K46" s="114">
        <f t="shared" si="15"/>
        <v>0.04166666667</v>
      </c>
      <c r="L46" s="116">
        <f t="shared" si="2"/>
        <v>11</v>
      </c>
      <c r="M46" s="116">
        <f t="shared" si="3"/>
        <v>1</v>
      </c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117">
        <v>46132.0</v>
      </c>
      <c r="B47" s="118">
        <v>1.0</v>
      </c>
      <c r="C47" s="111" t="str">
        <f>VLOOKUP(B47,Employees!A:B,2,FALSE)</f>
        <v>Rajat Hela</v>
      </c>
      <c r="D47" s="119">
        <v>0.3333333333333333</v>
      </c>
      <c r="E47" s="120">
        <v>0.5416666666666666</v>
      </c>
      <c r="F47" s="121">
        <v>0.5833333333333334</v>
      </c>
      <c r="G47" s="121">
        <v>0.8333333333333334</v>
      </c>
      <c r="H47" s="114">
        <f t="shared" si="12"/>
        <v>0.04166666667</v>
      </c>
      <c r="I47" s="114">
        <f t="shared" si="13"/>
        <v>0.5</v>
      </c>
      <c r="J47" s="115">
        <f t="shared" si="14"/>
        <v>0.4583333333</v>
      </c>
      <c r="K47" s="114">
        <f t="shared" si="15"/>
        <v>0</v>
      </c>
      <c r="L47" s="116">
        <f t="shared" si="2"/>
        <v>11</v>
      </c>
      <c r="M47" s="116">
        <f t="shared" si="3"/>
        <v>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117"/>
      <c r="B48" s="118">
        <v>3.0</v>
      </c>
      <c r="C48" s="111" t="str">
        <f>VLOOKUP(B48,Employees!A:B,2,FALSE)</f>
        <v>Ranjan Kumar</v>
      </c>
      <c r="D48" s="121">
        <v>0.8333333333333334</v>
      </c>
      <c r="E48" s="120"/>
      <c r="F48" s="121"/>
      <c r="G48" s="121">
        <v>0.2916666666666667</v>
      </c>
      <c r="H48" s="114">
        <f t="shared" si="12"/>
        <v>0</v>
      </c>
      <c r="I48" s="114">
        <f t="shared" si="13"/>
        <v>-0.5416666667</v>
      </c>
      <c r="J48" s="115">
        <f t="shared" si="14"/>
        <v>-0.5416666667</v>
      </c>
      <c r="K48" s="114">
        <f t="shared" si="15"/>
        <v>0</v>
      </c>
      <c r="L48" s="116">
        <f t="shared" si="2"/>
        <v>11</v>
      </c>
      <c r="M48" s="116">
        <f t="shared" si="3"/>
        <v>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117">
        <v>46133.0</v>
      </c>
      <c r="B49" s="118">
        <v>1.0</v>
      </c>
      <c r="C49" s="111" t="str">
        <f>VLOOKUP(B49,Employees!A:B,2,FALSE)</f>
        <v>Rajat Hela</v>
      </c>
      <c r="D49" s="119">
        <v>0.3333333333333333</v>
      </c>
      <c r="E49" s="120">
        <v>0.5416666666666666</v>
      </c>
      <c r="F49" s="121">
        <v>0.5833333333333334</v>
      </c>
      <c r="G49" s="121">
        <v>0.8333333333333334</v>
      </c>
      <c r="H49" s="114">
        <f t="shared" si="12"/>
        <v>0.04166666667</v>
      </c>
      <c r="I49" s="114">
        <f t="shared" si="13"/>
        <v>0.5</v>
      </c>
      <c r="J49" s="115">
        <f t="shared" si="14"/>
        <v>0.4583333333</v>
      </c>
      <c r="K49" s="114">
        <f t="shared" si="15"/>
        <v>0</v>
      </c>
      <c r="L49" s="116">
        <f t="shared" si="2"/>
        <v>11</v>
      </c>
      <c r="M49" s="116">
        <f t="shared" si="3"/>
        <v>0</v>
      </c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117"/>
      <c r="B50" s="118">
        <v>3.0</v>
      </c>
      <c r="C50" s="111" t="str">
        <f>VLOOKUP(B50,Employees!A:B,2,FALSE)</f>
        <v>Ranjan Kumar</v>
      </c>
      <c r="D50" s="121">
        <v>0.8333333333333334</v>
      </c>
      <c r="E50" s="120"/>
      <c r="F50" s="121"/>
      <c r="G50" s="121">
        <v>0.3333333333333333</v>
      </c>
      <c r="H50" s="114">
        <f t="shared" si="12"/>
        <v>0</v>
      </c>
      <c r="I50" s="114">
        <f t="shared" si="13"/>
        <v>-0.5</v>
      </c>
      <c r="J50" s="115">
        <f t="shared" si="14"/>
        <v>-0.5</v>
      </c>
      <c r="K50" s="114">
        <f t="shared" si="15"/>
        <v>0.04166666667</v>
      </c>
      <c r="L50" s="116">
        <f t="shared" si="2"/>
        <v>11</v>
      </c>
      <c r="M50" s="116">
        <f t="shared" si="3"/>
        <v>1</v>
      </c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117">
        <v>46134.0</v>
      </c>
      <c r="B51" s="118"/>
      <c r="C51" s="111"/>
      <c r="D51" s="119"/>
      <c r="E51" s="120"/>
      <c r="F51" s="121"/>
      <c r="G51" s="118" t="s">
        <v>48</v>
      </c>
      <c r="H51" s="114"/>
      <c r="I51" s="114"/>
      <c r="J51" s="115"/>
      <c r="K51" s="114"/>
      <c r="L51" s="116" t="str">
        <f t="shared" si="2"/>
        <v/>
      </c>
      <c r="M51" s="116" t="str">
        <f t="shared" si="3"/>
        <v/>
      </c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117">
        <v>46135.0</v>
      </c>
      <c r="B52" s="118">
        <v>1.0</v>
      </c>
      <c r="C52" s="111" t="str">
        <f>VLOOKUP(B52,Employees!A:B,2,FALSE)</f>
        <v>Rajat Hela</v>
      </c>
      <c r="D52" s="119">
        <v>0.3333333333333333</v>
      </c>
      <c r="E52" s="120">
        <v>0.5416666666666666</v>
      </c>
      <c r="F52" s="121">
        <v>0.5833333333333334</v>
      </c>
      <c r="G52" s="121">
        <v>0.8333333333333334</v>
      </c>
      <c r="H52" s="114">
        <f t="shared" ref="H52:H66" si="16">F52 - E52</f>
        <v>0.04166666667</v>
      </c>
      <c r="I52" s="114">
        <f t="shared" ref="I52:I66" si="17">G52 - D52</f>
        <v>0.5</v>
      </c>
      <c r="J52" s="115">
        <f t="shared" ref="J52:J63" si="18">I52 - H52</f>
        <v>0.4583333333</v>
      </c>
      <c r="K52" s="114">
        <f t="shared" ref="K52:K63" si="19">MAX(
  0,
  MOD(
    IFERROR(
      J52,
      TIMEVALUE(SUBSTITUTE(J52,CHAR(160),""))
    ),
    1
  ) - TIME(11,0,0)
)
</f>
        <v>0</v>
      </c>
      <c r="L52" s="116">
        <f t="shared" si="2"/>
        <v>11</v>
      </c>
      <c r="M52" s="116">
        <f t="shared" si="3"/>
        <v>0</v>
      </c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117"/>
      <c r="B53" s="118">
        <v>3.0</v>
      </c>
      <c r="C53" s="111" t="str">
        <f>VLOOKUP(B53,Employees!A:B,2,FALSE)</f>
        <v>Ranjan Kumar</v>
      </c>
      <c r="D53" s="121">
        <v>0.8333333333333334</v>
      </c>
      <c r="E53" s="120"/>
      <c r="F53" s="121"/>
      <c r="G53" s="121">
        <v>0.2916666666666667</v>
      </c>
      <c r="H53" s="114">
        <f t="shared" si="16"/>
        <v>0</v>
      </c>
      <c r="I53" s="114">
        <f t="shared" si="17"/>
        <v>-0.5416666667</v>
      </c>
      <c r="J53" s="115">
        <f t="shared" si="18"/>
        <v>-0.5416666667</v>
      </c>
      <c r="K53" s="114">
        <f t="shared" si="19"/>
        <v>0</v>
      </c>
      <c r="L53" s="116">
        <f t="shared" si="2"/>
        <v>11</v>
      </c>
      <c r="M53" s="116">
        <f t="shared" si="3"/>
        <v>0</v>
      </c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117">
        <v>46136.0</v>
      </c>
      <c r="B54" s="118">
        <v>1.0</v>
      </c>
      <c r="C54" s="111" t="str">
        <f>VLOOKUP(B54,Employees!A:B,2,FALSE)</f>
        <v>Rajat Hela</v>
      </c>
      <c r="D54" s="119">
        <v>0.3333333333333333</v>
      </c>
      <c r="E54" s="120">
        <v>0.5416666666666666</v>
      </c>
      <c r="F54" s="121">
        <v>0.5833333333333334</v>
      </c>
      <c r="G54" s="121">
        <v>0.8333333333333334</v>
      </c>
      <c r="H54" s="114">
        <f t="shared" si="16"/>
        <v>0.04166666667</v>
      </c>
      <c r="I54" s="114">
        <f t="shared" si="17"/>
        <v>0.5</v>
      </c>
      <c r="J54" s="115">
        <f t="shared" si="18"/>
        <v>0.4583333333</v>
      </c>
      <c r="K54" s="114">
        <f t="shared" si="19"/>
        <v>0</v>
      </c>
      <c r="L54" s="116">
        <f t="shared" si="2"/>
        <v>11</v>
      </c>
      <c r="M54" s="116">
        <f t="shared" si="3"/>
        <v>0</v>
      </c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117"/>
      <c r="B55" s="118">
        <v>3.0</v>
      </c>
      <c r="C55" s="111" t="str">
        <f>VLOOKUP(B55,Employees!A:B,2,FALSE)</f>
        <v>Ranjan Kumar</v>
      </c>
      <c r="D55" s="121">
        <v>0.8333333333333334</v>
      </c>
      <c r="E55" s="120"/>
      <c r="F55" s="121"/>
      <c r="G55" s="121">
        <v>0.3333333333333333</v>
      </c>
      <c r="H55" s="114">
        <f t="shared" si="16"/>
        <v>0</v>
      </c>
      <c r="I55" s="114">
        <f t="shared" si="17"/>
        <v>-0.5</v>
      </c>
      <c r="J55" s="115">
        <f t="shared" si="18"/>
        <v>-0.5</v>
      </c>
      <c r="K55" s="114">
        <f t="shared" si="19"/>
        <v>0.04166666667</v>
      </c>
      <c r="L55" s="116">
        <f t="shared" si="2"/>
        <v>11</v>
      </c>
      <c r="M55" s="116">
        <f t="shared" si="3"/>
        <v>1</v>
      </c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117">
        <v>46137.0</v>
      </c>
      <c r="B56" s="118">
        <v>1.0</v>
      </c>
      <c r="C56" s="111" t="str">
        <f>VLOOKUP(B56,Employees!A:B,2,FALSE)</f>
        <v>Rajat Hela</v>
      </c>
      <c r="D56" s="119">
        <v>0.3333333333333333</v>
      </c>
      <c r="E56" s="120">
        <v>0.5416666666666666</v>
      </c>
      <c r="F56" s="121">
        <v>0.5833333333333334</v>
      </c>
      <c r="G56" s="121">
        <v>0.7708333333333334</v>
      </c>
      <c r="H56" s="114">
        <f t="shared" si="16"/>
        <v>0.04166666667</v>
      </c>
      <c r="I56" s="114">
        <f t="shared" si="17"/>
        <v>0.4375</v>
      </c>
      <c r="J56" s="115">
        <f t="shared" si="18"/>
        <v>0.3958333333</v>
      </c>
      <c r="K56" s="114">
        <f t="shared" si="19"/>
        <v>0</v>
      </c>
      <c r="L56" s="116">
        <f t="shared" si="2"/>
        <v>9.3</v>
      </c>
      <c r="M56" s="116">
        <f t="shared" si="3"/>
        <v>0</v>
      </c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117"/>
      <c r="B57" s="118">
        <v>3.0</v>
      </c>
      <c r="C57" s="111" t="str">
        <f>VLOOKUP(B57,Employees!A:B,2,FALSE)</f>
        <v>Ranjan Kumar</v>
      </c>
      <c r="D57" s="121">
        <v>0.8333333333333334</v>
      </c>
      <c r="E57" s="120"/>
      <c r="F57" s="121"/>
      <c r="G57" s="121">
        <v>0.10416666666666667</v>
      </c>
      <c r="H57" s="114">
        <f t="shared" si="16"/>
        <v>0</v>
      </c>
      <c r="I57" s="114">
        <f t="shared" si="17"/>
        <v>-0.7291666667</v>
      </c>
      <c r="J57" s="115">
        <f t="shared" si="18"/>
        <v>-0.7291666667</v>
      </c>
      <c r="K57" s="114">
        <f t="shared" si="19"/>
        <v>0</v>
      </c>
      <c r="L57" s="126">
        <f t="shared" si="2"/>
        <v>6.3</v>
      </c>
      <c r="M57" s="126">
        <f t="shared" si="3"/>
        <v>0</v>
      </c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117">
        <v>46138.0</v>
      </c>
      <c r="B58" s="118">
        <v>1.0</v>
      </c>
      <c r="C58" s="111" t="str">
        <f>VLOOKUP(B58,Employees!A:B,2,FALSE)</f>
        <v>Rajat Hela</v>
      </c>
      <c r="D58" s="119">
        <v>0.3333333333333333</v>
      </c>
      <c r="E58" s="120"/>
      <c r="F58" s="121"/>
      <c r="G58" s="121">
        <v>0.4166666666666667</v>
      </c>
      <c r="H58" s="114">
        <f t="shared" si="16"/>
        <v>0</v>
      </c>
      <c r="I58" s="114">
        <f t="shared" si="17"/>
        <v>0.08333333333</v>
      </c>
      <c r="J58" s="115">
        <f t="shared" si="18"/>
        <v>0.08333333333</v>
      </c>
      <c r="K58" s="114">
        <f t="shared" si="19"/>
        <v>0</v>
      </c>
      <c r="L58" s="126">
        <f t="shared" si="2"/>
        <v>2</v>
      </c>
      <c r="M58" s="126">
        <f t="shared" si="3"/>
        <v>0</v>
      </c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117"/>
      <c r="B59" s="118">
        <v>3.0</v>
      </c>
      <c r="C59" s="111" t="str">
        <f>VLOOKUP(B59,Employees!A:B,2,FALSE)</f>
        <v>Ranjan Kumar</v>
      </c>
      <c r="D59" s="121">
        <v>0.4166666666666667</v>
      </c>
      <c r="E59" s="120">
        <v>0.5416666666666666</v>
      </c>
      <c r="F59" s="121">
        <v>0.5833333333333334</v>
      </c>
      <c r="G59" s="121">
        <v>1.0</v>
      </c>
      <c r="H59" s="114">
        <f t="shared" si="16"/>
        <v>0.04166666667</v>
      </c>
      <c r="I59" s="114">
        <f t="shared" si="17"/>
        <v>0.5833333333</v>
      </c>
      <c r="J59" s="115">
        <f t="shared" si="18"/>
        <v>0.5416666667</v>
      </c>
      <c r="K59" s="114">
        <f t="shared" si="19"/>
        <v>0.08333333333</v>
      </c>
      <c r="L59" s="126">
        <f t="shared" si="2"/>
        <v>11</v>
      </c>
      <c r="M59" s="126">
        <f t="shared" si="3"/>
        <v>2</v>
      </c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117">
        <v>46139.0</v>
      </c>
      <c r="B60" s="118">
        <v>1.0</v>
      </c>
      <c r="C60" s="111" t="str">
        <f>VLOOKUP(B60,Employees!A:B,2,FALSE)</f>
        <v>Rajat Hela</v>
      </c>
      <c r="D60" s="119">
        <v>0.3333333333333333</v>
      </c>
      <c r="E60" s="120">
        <v>0.5416666666666666</v>
      </c>
      <c r="F60" s="121">
        <v>0.5833333333333334</v>
      </c>
      <c r="G60" s="121">
        <v>0.8333333333333334</v>
      </c>
      <c r="H60" s="114">
        <f t="shared" si="16"/>
        <v>0.04166666667</v>
      </c>
      <c r="I60" s="114">
        <f t="shared" si="17"/>
        <v>0.5</v>
      </c>
      <c r="J60" s="115">
        <f t="shared" si="18"/>
        <v>0.4583333333</v>
      </c>
      <c r="K60" s="114">
        <f t="shared" si="19"/>
        <v>0</v>
      </c>
      <c r="L60" s="126">
        <f t="shared" si="2"/>
        <v>11</v>
      </c>
      <c r="M60" s="126">
        <f t="shared" si="3"/>
        <v>0</v>
      </c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117"/>
      <c r="B61" s="118">
        <v>3.0</v>
      </c>
      <c r="C61" s="111" t="str">
        <f>VLOOKUP(B61,Employees!A:B,2,FALSE)</f>
        <v>Ranjan Kumar</v>
      </c>
      <c r="D61" s="121">
        <v>0.8333333333333334</v>
      </c>
      <c r="E61" s="120"/>
      <c r="F61" s="121"/>
      <c r="G61" s="121">
        <v>0.3333333333333333</v>
      </c>
      <c r="H61" s="114">
        <f t="shared" si="16"/>
        <v>0</v>
      </c>
      <c r="I61" s="114">
        <f t="shared" si="17"/>
        <v>-0.5</v>
      </c>
      <c r="J61" s="115">
        <f t="shared" si="18"/>
        <v>-0.5</v>
      </c>
      <c r="K61" s="114">
        <f t="shared" si="19"/>
        <v>0.04166666667</v>
      </c>
      <c r="L61" s="126">
        <f t="shared" si="2"/>
        <v>11</v>
      </c>
      <c r="M61" s="126">
        <f t="shared" si="3"/>
        <v>1</v>
      </c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117">
        <v>46140.0</v>
      </c>
      <c r="B62" s="118">
        <v>1.0</v>
      </c>
      <c r="C62" s="111" t="str">
        <f>VLOOKUP(B62,Employees!A:B,2,FALSE)</f>
        <v>Rajat Hela</v>
      </c>
      <c r="D62" s="119">
        <v>0.3333333333333333</v>
      </c>
      <c r="E62" s="120">
        <v>0.5416666666666666</v>
      </c>
      <c r="F62" s="121">
        <v>0.5833333333333334</v>
      </c>
      <c r="G62" s="121">
        <v>0.8333333333333334</v>
      </c>
      <c r="H62" s="114">
        <f t="shared" si="16"/>
        <v>0.04166666667</v>
      </c>
      <c r="I62" s="114">
        <f t="shared" si="17"/>
        <v>0.5</v>
      </c>
      <c r="J62" s="115">
        <f t="shared" si="18"/>
        <v>0.4583333333</v>
      </c>
      <c r="K62" s="114">
        <f t="shared" si="19"/>
        <v>0</v>
      </c>
      <c r="L62" s="126">
        <f t="shared" si="2"/>
        <v>11</v>
      </c>
      <c r="M62" s="126">
        <f t="shared" si="3"/>
        <v>0</v>
      </c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117"/>
      <c r="B63" s="118">
        <v>3.0</v>
      </c>
      <c r="C63" s="111" t="str">
        <f>VLOOKUP(B63,Employees!A:B,2,FALSE)</f>
        <v>Ranjan Kumar</v>
      </c>
      <c r="D63" s="121">
        <v>0.8333333333333334</v>
      </c>
      <c r="E63" s="120"/>
      <c r="F63" s="121"/>
      <c r="G63" s="121">
        <v>0.2916666666666667</v>
      </c>
      <c r="H63" s="114">
        <f t="shared" si="16"/>
        <v>0</v>
      </c>
      <c r="I63" s="114">
        <f t="shared" si="17"/>
        <v>-0.5416666667</v>
      </c>
      <c r="J63" s="115">
        <f t="shared" si="18"/>
        <v>-0.5416666667</v>
      </c>
      <c r="K63" s="114">
        <f t="shared" si="19"/>
        <v>0</v>
      </c>
      <c r="L63" s="126">
        <f t="shared" si="2"/>
        <v>11</v>
      </c>
      <c r="M63" s="126">
        <f t="shared" si="3"/>
        <v>0</v>
      </c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117">
        <v>46141.0</v>
      </c>
      <c r="B64" s="118">
        <v>1.0</v>
      </c>
      <c r="C64" s="111" t="str">
        <f>VLOOKUP(B64,Employees!A:B,2,FALSE)</f>
        <v>Rajat Hela</v>
      </c>
      <c r="D64" s="119">
        <v>0.3333333333333333</v>
      </c>
      <c r="E64" s="120"/>
      <c r="F64" s="121"/>
      <c r="G64" s="120">
        <v>0.5416666666666666</v>
      </c>
      <c r="H64" s="114">
        <f t="shared" si="16"/>
        <v>0</v>
      </c>
      <c r="I64" s="114">
        <f t="shared" si="17"/>
        <v>0.2083333333</v>
      </c>
      <c r="J64" s="123">
        <v>0.20833333333333334</v>
      </c>
      <c r="K64" s="114"/>
      <c r="L64" s="126">
        <f t="shared" si="2"/>
        <v>5</v>
      </c>
      <c r="M64" s="126" t="str">
        <f t="shared" si="3"/>
        <v/>
      </c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117">
        <v>46142.0</v>
      </c>
      <c r="B65" s="118">
        <v>1.0</v>
      </c>
      <c r="C65" s="111" t="str">
        <f>VLOOKUP(B65,Employees!A:B,2,FALSE)</f>
        <v>Rajat Hela</v>
      </c>
      <c r="D65" s="119">
        <v>0.3333333333333333</v>
      </c>
      <c r="E65" s="120">
        <v>0.5416666666666666</v>
      </c>
      <c r="F65" s="121">
        <v>0.5833333333333334</v>
      </c>
      <c r="G65" s="121">
        <v>0.8333333333333334</v>
      </c>
      <c r="H65" s="114">
        <f t="shared" si="16"/>
        <v>0.04166666667</v>
      </c>
      <c r="I65" s="114">
        <f t="shared" si="17"/>
        <v>0.5</v>
      </c>
      <c r="J65" s="115">
        <f t="shared" ref="J65:J66" si="20">I65 - H65</f>
        <v>0.4583333333</v>
      </c>
      <c r="K65" s="114">
        <f t="shared" ref="K65:K66" si="21">MAX(
  0,
  MOD(
    IFERROR(
      J65,
      TIMEVALUE(SUBSTITUTE(J65,CHAR(160),""))
    ),
    1
  ) - TIME(11,0,0)
)
</f>
        <v>0</v>
      </c>
      <c r="L65" s="126">
        <f t="shared" si="2"/>
        <v>11</v>
      </c>
      <c r="M65" s="126">
        <f t="shared" si="3"/>
        <v>0</v>
      </c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117"/>
      <c r="B66" s="118">
        <v>3.0</v>
      </c>
      <c r="C66" s="111" t="str">
        <f>VLOOKUP(B66,Employees!A:B,2,FALSE)</f>
        <v>Ranjan Kumar</v>
      </c>
      <c r="D66" s="121">
        <v>0.8333333333333334</v>
      </c>
      <c r="E66" s="120"/>
      <c r="F66" s="121"/>
      <c r="G66" s="121">
        <v>0.2916666666666667</v>
      </c>
      <c r="H66" s="114">
        <f t="shared" si="16"/>
        <v>0</v>
      </c>
      <c r="I66" s="114">
        <f t="shared" si="17"/>
        <v>-0.5416666667</v>
      </c>
      <c r="J66" s="115">
        <f t="shared" si="20"/>
        <v>-0.5416666667</v>
      </c>
      <c r="K66" s="114">
        <f t="shared" si="21"/>
        <v>0</v>
      </c>
      <c r="L66" s="126">
        <f t="shared" si="2"/>
        <v>11</v>
      </c>
      <c r="M66" s="126">
        <f t="shared" si="3"/>
        <v>0</v>
      </c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6"/>
      <c r="J67" s="63"/>
      <c r="K67" s="63"/>
      <c r="L67" s="63"/>
      <c r="M67" s="64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6"/>
      <c r="J68" s="63"/>
      <c r="K68" s="63"/>
      <c r="L68" s="63"/>
      <c r="M68" s="64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6"/>
      <c r="J69" s="63"/>
      <c r="K69" s="63"/>
      <c r="L69" s="63"/>
      <c r="M69" s="64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6"/>
      <c r="J70" s="63"/>
      <c r="K70" s="63"/>
      <c r="L70" s="63"/>
      <c r="M70" s="64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6"/>
      <c r="J71" s="63"/>
      <c r="K71" s="63"/>
      <c r="L71" s="63"/>
      <c r="M71" s="64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6"/>
      <c r="J72" s="63"/>
      <c r="K72" s="63"/>
      <c r="L72" s="63"/>
      <c r="M72" s="64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6"/>
      <c r="J73" s="63"/>
      <c r="K73" s="63"/>
      <c r="L73" s="63"/>
      <c r="M73" s="64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6"/>
      <c r="J74" s="63"/>
      <c r="K74" s="63"/>
      <c r="L74" s="63"/>
      <c r="M74" s="64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6"/>
      <c r="J75" s="63"/>
      <c r="K75" s="63"/>
      <c r="L75" s="63"/>
      <c r="M75" s="64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6"/>
      <c r="J76" s="63"/>
      <c r="K76" s="63"/>
      <c r="L76" s="63"/>
      <c r="M76" s="64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6"/>
      <c r="J77" s="63"/>
      <c r="K77" s="63"/>
      <c r="L77" s="63"/>
      <c r="M77" s="64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6"/>
      <c r="J78" s="63"/>
      <c r="K78" s="63"/>
      <c r="L78" s="63"/>
      <c r="M78" s="64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6"/>
      <c r="J79" s="63"/>
      <c r="K79" s="63"/>
      <c r="L79" s="63"/>
      <c r="M79" s="64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6"/>
      <c r="J80" s="63"/>
      <c r="K80" s="63"/>
      <c r="L80" s="63"/>
      <c r="M80" s="64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6"/>
      <c r="J81" s="63"/>
      <c r="K81" s="63"/>
      <c r="L81" s="63"/>
      <c r="M81" s="64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6"/>
      <c r="J82" s="63"/>
      <c r="K82" s="63"/>
      <c r="L82" s="63"/>
      <c r="M82" s="64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6"/>
      <c r="J83" s="63"/>
      <c r="K83" s="63"/>
      <c r="L83" s="63"/>
      <c r="M83" s="64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6"/>
      <c r="J84" s="63"/>
      <c r="K84" s="63"/>
      <c r="L84" s="63"/>
      <c r="M84" s="64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6"/>
      <c r="J85" s="63"/>
      <c r="K85" s="63"/>
      <c r="L85" s="63"/>
      <c r="M85" s="64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6"/>
      <c r="J86" s="63"/>
      <c r="K86" s="63"/>
      <c r="L86" s="63"/>
      <c r="M86" s="64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6"/>
      <c r="J87" s="63"/>
      <c r="K87" s="63"/>
      <c r="L87" s="63"/>
      <c r="M87" s="64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6"/>
      <c r="J88" s="63"/>
      <c r="K88" s="63"/>
      <c r="L88" s="63"/>
      <c r="M88" s="64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6"/>
      <c r="J89" s="63"/>
      <c r="K89" s="63"/>
      <c r="L89" s="63"/>
      <c r="M89" s="64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6"/>
      <c r="J90" s="63"/>
      <c r="K90" s="63"/>
      <c r="L90" s="63"/>
      <c r="M90" s="64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6"/>
      <c r="J91" s="63"/>
      <c r="K91" s="63"/>
      <c r="L91" s="63"/>
      <c r="M91" s="64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6"/>
      <c r="J92" s="63"/>
      <c r="K92" s="63"/>
      <c r="L92" s="63"/>
      <c r="M92" s="64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6"/>
      <c r="J93" s="63"/>
      <c r="K93" s="63"/>
      <c r="L93" s="63"/>
      <c r="M93" s="64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6"/>
      <c r="J94" s="63"/>
      <c r="K94" s="63"/>
      <c r="L94" s="63"/>
      <c r="M94" s="64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6"/>
      <c r="J95" s="63"/>
      <c r="K95" s="63"/>
      <c r="L95" s="63"/>
      <c r="M95" s="64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6"/>
      <c r="J96" s="63"/>
      <c r="K96" s="63"/>
      <c r="L96" s="63"/>
      <c r="M96" s="64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6"/>
      <c r="J97" s="63"/>
      <c r="K97" s="63"/>
      <c r="L97" s="63"/>
      <c r="M97" s="64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6"/>
      <c r="J98" s="63"/>
      <c r="K98" s="63"/>
      <c r="L98" s="63"/>
      <c r="M98" s="64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6"/>
      <c r="J99" s="63"/>
      <c r="K99" s="63"/>
      <c r="L99" s="63"/>
      <c r="M99" s="64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6"/>
      <c r="J100" s="63"/>
      <c r="K100" s="63"/>
      <c r="L100" s="63"/>
      <c r="M100" s="64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6"/>
      <c r="J101" s="63"/>
      <c r="K101" s="63"/>
      <c r="L101" s="63"/>
      <c r="M101" s="64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6"/>
      <c r="J102" s="63"/>
      <c r="K102" s="63"/>
      <c r="L102" s="63"/>
      <c r="M102" s="64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6"/>
      <c r="J103" s="63"/>
      <c r="K103" s="63"/>
      <c r="L103" s="63"/>
      <c r="M103" s="64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6"/>
      <c r="J104" s="63"/>
      <c r="K104" s="63"/>
      <c r="L104" s="63"/>
      <c r="M104" s="64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6"/>
      <c r="J105" s="63"/>
      <c r="K105" s="63"/>
      <c r="L105" s="63"/>
      <c r="M105" s="64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6"/>
      <c r="J106" s="63"/>
      <c r="K106" s="63"/>
      <c r="L106" s="63"/>
      <c r="M106" s="64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6"/>
      <c r="J107" s="63"/>
      <c r="K107" s="63"/>
      <c r="L107" s="63"/>
      <c r="M107" s="64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6"/>
      <c r="J108" s="63"/>
      <c r="K108" s="63"/>
      <c r="L108" s="63"/>
      <c r="M108" s="64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6"/>
      <c r="J109" s="63"/>
      <c r="K109" s="63"/>
      <c r="L109" s="63"/>
      <c r="M109" s="64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6"/>
      <c r="J110" s="63"/>
      <c r="K110" s="63"/>
      <c r="L110" s="63"/>
      <c r="M110" s="64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6"/>
      <c r="J111" s="63"/>
      <c r="K111" s="63"/>
      <c r="L111" s="63"/>
      <c r="M111" s="64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6"/>
      <c r="J112" s="63"/>
      <c r="K112" s="63"/>
      <c r="L112" s="63"/>
      <c r="M112" s="64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6"/>
      <c r="J113" s="63"/>
      <c r="K113" s="63"/>
      <c r="L113" s="63"/>
      <c r="M113" s="64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6"/>
      <c r="J114" s="63"/>
      <c r="K114" s="63"/>
      <c r="L114" s="63"/>
      <c r="M114" s="64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6"/>
      <c r="J115" s="63"/>
      <c r="K115" s="63"/>
      <c r="L115" s="63"/>
      <c r="M115" s="64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6"/>
      <c r="J116" s="63"/>
      <c r="K116" s="63"/>
      <c r="L116" s="63"/>
      <c r="M116" s="64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6"/>
      <c r="J117" s="63"/>
      <c r="K117" s="63"/>
      <c r="L117" s="63"/>
      <c r="M117" s="64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6"/>
      <c r="J118" s="63"/>
      <c r="K118" s="63"/>
      <c r="L118" s="63"/>
      <c r="M118" s="64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6"/>
      <c r="J119" s="63"/>
      <c r="K119" s="63"/>
      <c r="L119" s="63"/>
      <c r="M119" s="64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6"/>
      <c r="J120" s="63"/>
      <c r="K120" s="63"/>
      <c r="L120" s="63"/>
      <c r="M120" s="64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6"/>
      <c r="J121" s="63"/>
      <c r="K121" s="63"/>
      <c r="L121" s="63"/>
      <c r="M121" s="64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6"/>
      <c r="J122" s="63"/>
      <c r="K122" s="63"/>
      <c r="L122" s="63"/>
      <c r="M122" s="64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6"/>
      <c r="J123" s="63"/>
      <c r="K123" s="63"/>
      <c r="L123" s="63"/>
      <c r="M123" s="64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6"/>
      <c r="J124" s="63"/>
      <c r="K124" s="63"/>
      <c r="L124" s="63"/>
      <c r="M124" s="64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6"/>
      <c r="J125" s="63"/>
      <c r="K125" s="63"/>
      <c r="L125" s="63"/>
      <c r="M125" s="64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6"/>
      <c r="J126" s="63"/>
      <c r="K126" s="63"/>
      <c r="L126" s="63"/>
      <c r="M126" s="64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6"/>
      <c r="J127" s="63"/>
      <c r="K127" s="63"/>
      <c r="L127" s="63"/>
      <c r="M127" s="64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6"/>
      <c r="J128" s="63"/>
      <c r="K128" s="63"/>
      <c r="L128" s="63"/>
      <c r="M128" s="64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6"/>
      <c r="J129" s="63"/>
      <c r="K129" s="63"/>
      <c r="L129" s="63"/>
      <c r="M129" s="64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6"/>
      <c r="J130" s="63"/>
      <c r="K130" s="63"/>
      <c r="L130" s="63"/>
      <c r="M130" s="64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6"/>
      <c r="J131" s="63"/>
      <c r="K131" s="63"/>
      <c r="L131" s="63"/>
      <c r="M131" s="64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6"/>
      <c r="J132" s="63"/>
      <c r="K132" s="63"/>
      <c r="L132" s="63"/>
      <c r="M132" s="64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6"/>
      <c r="J133" s="63"/>
      <c r="K133" s="63"/>
      <c r="L133" s="63"/>
      <c r="M133" s="64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6"/>
      <c r="J134" s="63"/>
      <c r="K134" s="63"/>
      <c r="L134" s="63"/>
      <c r="M134" s="64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6"/>
      <c r="J135" s="63"/>
      <c r="K135" s="63"/>
      <c r="L135" s="63"/>
      <c r="M135" s="64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6"/>
      <c r="J136" s="63"/>
      <c r="K136" s="63"/>
      <c r="L136" s="63"/>
      <c r="M136" s="64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6"/>
      <c r="J137" s="63"/>
      <c r="K137" s="63"/>
      <c r="L137" s="63"/>
      <c r="M137" s="64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6"/>
      <c r="J138" s="63"/>
      <c r="K138" s="63"/>
      <c r="L138" s="63"/>
      <c r="M138" s="64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6"/>
      <c r="J139" s="63"/>
      <c r="K139" s="63"/>
      <c r="L139" s="63"/>
      <c r="M139" s="64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6"/>
      <c r="J140" s="63"/>
      <c r="K140" s="63"/>
      <c r="L140" s="63"/>
      <c r="M140" s="64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6"/>
      <c r="J141" s="63"/>
      <c r="K141" s="63"/>
      <c r="L141" s="63"/>
      <c r="M141" s="64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6"/>
      <c r="J142" s="63"/>
      <c r="K142" s="63"/>
      <c r="L142" s="63"/>
      <c r="M142" s="64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6"/>
      <c r="J143" s="63"/>
      <c r="K143" s="63"/>
      <c r="L143" s="63"/>
      <c r="M143" s="64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6"/>
      <c r="J144" s="63"/>
      <c r="K144" s="63"/>
      <c r="L144" s="63"/>
      <c r="M144" s="64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6"/>
      <c r="J145" s="63"/>
      <c r="K145" s="63"/>
      <c r="L145" s="63"/>
      <c r="M145" s="64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6"/>
      <c r="J146" s="63"/>
      <c r="K146" s="63"/>
      <c r="L146" s="63"/>
      <c r="M146" s="64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6"/>
      <c r="J147" s="63"/>
      <c r="K147" s="63"/>
      <c r="L147" s="63"/>
      <c r="M147" s="64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6"/>
      <c r="J148" s="63"/>
      <c r="K148" s="63"/>
      <c r="L148" s="63"/>
      <c r="M148" s="64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6"/>
      <c r="J149" s="63"/>
      <c r="K149" s="63"/>
      <c r="L149" s="63"/>
      <c r="M149" s="64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6"/>
      <c r="J150" s="63"/>
      <c r="K150" s="63"/>
      <c r="L150" s="63"/>
      <c r="M150" s="64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6"/>
      <c r="J151" s="63"/>
      <c r="K151" s="63"/>
      <c r="L151" s="63"/>
      <c r="M151" s="64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6"/>
      <c r="J152" s="63"/>
      <c r="K152" s="63"/>
      <c r="L152" s="63"/>
      <c r="M152" s="64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6"/>
      <c r="J153" s="63"/>
      <c r="K153" s="63"/>
      <c r="L153" s="63"/>
      <c r="M153" s="64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6"/>
      <c r="J154" s="63"/>
      <c r="K154" s="63"/>
      <c r="L154" s="63"/>
      <c r="M154" s="64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6"/>
      <c r="J155" s="63"/>
      <c r="K155" s="63"/>
      <c r="L155" s="63"/>
      <c r="M155" s="64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6"/>
      <c r="J156" s="63"/>
      <c r="K156" s="63"/>
      <c r="L156" s="63"/>
      <c r="M156" s="64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6"/>
      <c r="J157" s="63"/>
      <c r="K157" s="63"/>
      <c r="L157" s="63"/>
      <c r="M157" s="64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6"/>
      <c r="J158" s="63"/>
      <c r="K158" s="63"/>
      <c r="L158" s="63"/>
      <c r="M158" s="64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6"/>
      <c r="J159" s="63"/>
      <c r="K159" s="63"/>
      <c r="L159" s="63"/>
      <c r="M159" s="64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6"/>
      <c r="J160" s="63"/>
      <c r="K160" s="63"/>
      <c r="L160" s="63"/>
      <c r="M160" s="64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6"/>
      <c r="J161" s="63"/>
      <c r="K161" s="63"/>
      <c r="L161" s="63"/>
      <c r="M161" s="64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6"/>
      <c r="J162" s="63"/>
      <c r="K162" s="63"/>
      <c r="L162" s="63"/>
      <c r="M162" s="64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6"/>
      <c r="J163" s="63"/>
      <c r="K163" s="63"/>
      <c r="L163" s="63"/>
      <c r="M163" s="64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6"/>
      <c r="J164" s="63"/>
      <c r="K164" s="63"/>
      <c r="L164" s="63"/>
      <c r="M164" s="64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6"/>
      <c r="J165" s="63"/>
      <c r="K165" s="63"/>
      <c r="L165" s="63"/>
      <c r="M165" s="64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6"/>
      <c r="J166" s="63"/>
      <c r="K166" s="63"/>
      <c r="L166" s="63"/>
      <c r="M166" s="64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6"/>
      <c r="J167" s="63"/>
      <c r="K167" s="63"/>
      <c r="L167" s="63"/>
      <c r="M167" s="64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6"/>
      <c r="J168" s="63"/>
      <c r="K168" s="63"/>
      <c r="L168" s="63"/>
      <c r="M168" s="64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6"/>
      <c r="J169" s="63"/>
      <c r="K169" s="63"/>
      <c r="L169" s="63"/>
      <c r="M169" s="64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6"/>
      <c r="J170" s="63"/>
      <c r="K170" s="63"/>
      <c r="L170" s="63"/>
      <c r="M170" s="64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6"/>
      <c r="J171" s="63"/>
      <c r="K171" s="63"/>
      <c r="L171" s="63"/>
      <c r="M171" s="64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6"/>
      <c r="J172" s="63"/>
      <c r="K172" s="63"/>
      <c r="L172" s="63"/>
      <c r="M172" s="64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6"/>
      <c r="J173" s="63"/>
      <c r="K173" s="63"/>
      <c r="L173" s="63"/>
      <c r="M173" s="64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6"/>
      <c r="J174" s="63"/>
      <c r="K174" s="63"/>
      <c r="L174" s="63"/>
      <c r="M174" s="64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6"/>
      <c r="J175" s="63"/>
      <c r="K175" s="63"/>
      <c r="L175" s="63"/>
      <c r="M175" s="64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6"/>
      <c r="J176" s="63"/>
      <c r="K176" s="63"/>
      <c r="L176" s="63"/>
      <c r="M176" s="64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6"/>
      <c r="J177" s="63"/>
      <c r="K177" s="63"/>
      <c r="L177" s="63"/>
      <c r="M177" s="64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6"/>
      <c r="J178" s="63"/>
      <c r="K178" s="63"/>
      <c r="L178" s="63"/>
      <c r="M178" s="64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6"/>
      <c r="J179" s="63"/>
      <c r="K179" s="63"/>
      <c r="L179" s="63"/>
      <c r="M179" s="64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6"/>
      <c r="J180" s="63"/>
      <c r="K180" s="63"/>
      <c r="L180" s="63"/>
      <c r="M180" s="64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6"/>
      <c r="J181" s="63"/>
      <c r="K181" s="63"/>
      <c r="L181" s="63"/>
      <c r="M181" s="64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6"/>
      <c r="J182" s="63"/>
      <c r="K182" s="63"/>
      <c r="L182" s="63"/>
      <c r="M182" s="64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6"/>
      <c r="J183" s="63"/>
      <c r="K183" s="63"/>
      <c r="L183" s="63"/>
      <c r="M183" s="64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6"/>
      <c r="J184" s="63"/>
      <c r="K184" s="63"/>
      <c r="L184" s="63"/>
      <c r="M184" s="64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6"/>
      <c r="J185" s="63"/>
      <c r="K185" s="63"/>
      <c r="L185" s="63"/>
      <c r="M185" s="64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6"/>
      <c r="J186" s="63"/>
      <c r="K186" s="63"/>
      <c r="L186" s="63"/>
      <c r="M186" s="64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6"/>
      <c r="J187" s="63"/>
      <c r="K187" s="63"/>
      <c r="L187" s="63"/>
      <c r="M187" s="64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6"/>
      <c r="J188" s="63"/>
      <c r="K188" s="63"/>
      <c r="L188" s="63"/>
      <c r="M188" s="64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6"/>
      <c r="J189" s="63"/>
      <c r="K189" s="63"/>
      <c r="L189" s="63"/>
      <c r="M189" s="64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6"/>
      <c r="J190" s="63"/>
      <c r="K190" s="63"/>
      <c r="L190" s="63"/>
      <c r="M190" s="64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6"/>
      <c r="J191" s="63"/>
      <c r="K191" s="63"/>
      <c r="L191" s="63"/>
      <c r="M191" s="64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6"/>
      <c r="J192" s="63"/>
      <c r="K192" s="63"/>
      <c r="L192" s="63"/>
      <c r="M192" s="64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6"/>
      <c r="J193" s="63"/>
      <c r="K193" s="63"/>
      <c r="L193" s="63"/>
      <c r="M193" s="64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6"/>
      <c r="J194" s="63"/>
      <c r="K194" s="63"/>
      <c r="L194" s="63"/>
      <c r="M194" s="64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6"/>
      <c r="J195" s="63"/>
      <c r="K195" s="63"/>
      <c r="L195" s="63"/>
      <c r="M195" s="64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6"/>
      <c r="J196" s="63"/>
      <c r="K196" s="63"/>
      <c r="L196" s="63"/>
      <c r="M196" s="64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6"/>
      <c r="J197" s="63"/>
      <c r="K197" s="63"/>
      <c r="L197" s="63"/>
      <c r="M197" s="64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6"/>
      <c r="J198" s="63"/>
      <c r="K198" s="63"/>
      <c r="L198" s="63"/>
      <c r="M198" s="64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6"/>
      <c r="J199" s="63"/>
      <c r="K199" s="63"/>
      <c r="L199" s="63"/>
      <c r="M199" s="64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6"/>
      <c r="J200" s="63"/>
      <c r="K200" s="63"/>
      <c r="L200" s="63"/>
      <c r="M200" s="64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6"/>
      <c r="J201" s="63"/>
      <c r="K201" s="63"/>
      <c r="L201" s="63"/>
      <c r="M201" s="64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6"/>
      <c r="J202" s="63"/>
      <c r="K202" s="63"/>
      <c r="L202" s="63"/>
      <c r="M202" s="64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6"/>
      <c r="J203" s="63"/>
      <c r="K203" s="63"/>
      <c r="L203" s="63"/>
      <c r="M203" s="64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6"/>
      <c r="J204" s="63"/>
      <c r="K204" s="63"/>
      <c r="L204" s="63"/>
      <c r="M204" s="64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6"/>
      <c r="J205" s="63"/>
      <c r="K205" s="63"/>
      <c r="L205" s="63"/>
      <c r="M205" s="64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6"/>
      <c r="J206" s="63"/>
      <c r="K206" s="63"/>
      <c r="L206" s="63"/>
      <c r="M206" s="64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6"/>
      <c r="J207" s="63"/>
      <c r="K207" s="63"/>
      <c r="L207" s="63"/>
      <c r="M207" s="64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6"/>
      <c r="J208" s="63"/>
      <c r="K208" s="63"/>
      <c r="L208" s="63"/>
      <c r="M208" s="64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6"/>
      <c r="J209" s="63"/>
      <c r="K209" s="63"/>
      <c r="L209" s="63"/>
      <c r="M209" s="64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6"/>
      <c r="J210" s="63"/>
      <c r="K210" s="63"/>
      <c r="L210" s="63"/>
      <c r="M210" s="64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6"/>
      <c r="J211" s="63"/>
      <c r="K211" s="63"/>
      <c r="L211" s="63"/>
      <c r="M211" s="64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6"/>
      <c r="J212" s="63"/>
      <c r="K212" s="63"/>
      <c r="L212" s="63"/>
      <c r="M212" s="64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6"/>
      <c r="J213" s="63"/>
      <c r="K213" s="63"/>
      <c r="L213" s="63"/>
      <c r="M213" s="64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6"/>
      <c r="J214" s="63"/>
      <c r="K214" s="63"/>
      <c r="L214" s="63"/>
      <c r="M214" s="64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6"/>
      <c r="J215" s="63"/>
      <c r="K215" s="63"/>
      <c r="L215" s="63"/>
      <c r="M215" s="64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6"/>
      <c r="J216" s="63"/>
      <c r="K216" s="63"/>
      <c r="L216" s="63"/>
      <c r="M216" s="64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6"/>
      <c r="J217" s="63"/>
      <c r="K217" s="63"/>
      <c r="L217" s="63"/>
      <c r="M217" s="64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6"/>
      <c r="J218" s="63"/>
      <c r="K218" s="63"/>
      <c r="L218" s="63"/>
      <c r="M218" s="64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6"/>
      <c r="J219" s="63"/>
      <c r="K219" s="63"/>
      <c r="L219" s="63"/>
      <c r="M219" s="64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6"/>
      <c r="J220" s="63"/>
      <c r="K220" s="63"/>
      <c r="L220" s="63"/>
      <c r="M220" s="64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6"/>
      <c r="J221" s="63"/>
      <c r="K221" s="63"/>
      <c r="L221" s="63"/>
      <c r="M221" s="64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6"/>
      <c r="J222" s="63"/>
      <c r="K222" s="63"/>
      <c r="L222" s="63"/>
      <c r="M222" s="64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6"/>
      <c r="J223" s="63"/>
      <c r="K223" s="63"/>
      <c r="L223" s="63"/>
      <c r="M223" s="64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6"/>
      <c r="J224" s="63"/>
      <c r="K224" s="63"/>
      <c r="L224" s="63"/>
      <c r="M224" s="64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6"/>
      <c r="J225" s="63"/>
      <c r="K225" s="63"/>
      <c r="L225" s="63"/>
      <c r="M225" s="64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6"/>
      <c r="J226" s="63"/>
      <c r="K226" s="63"/>
      <c r="L226" s="63"/>
      <c r="M226" s="64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6"/>
      <c r="J227" s="63"/>
      <c r="K227" s="63"/>
      <c r="L227" s="63"/>
      <c r="M227" s="64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6"/>
      <c r="J228" s="63"/>
      <c r="K228" s="63"/>
      <c r="L228" s="63"/>
      <c r="M228" s="64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6"/>
      <c r="J229" s="63"/>
      <c r="K229" s="63"/>
      <c r="L229" s="63"/>
      <c r="M229" s="64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6"/>
      <c r="J230" s="63"/>
      <c r="K230" s="63"/>
      <c r="L230" s="63"/>
      <c r="M230" s="64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6"/>
      <c r="J231" s="63"/>
      <c r="K231" s="63"/>
      <c r="L231" s="63"/>
      <c r="M231" s="64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6"/>
      <c r="J232" s="63"/>
      <c r="K232" s="63"/>
      <c r="L232" s="63"/>
      <c r="M232" s="64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6"/>
      <c r="J233" s="63"/>
      <c r="K233" s="63"/>
      <c r="L233" s="63"/>
      <c r="M233" s="64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6"/>
      <c r="J234" s="63"/>
      <c r="K234" s="63"/>
      <c r="L234" s="63"/>
      <c r="M234" s="64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6"/>
      <c r="J235" s="63"/>
      <c r="K235" s="63"/>
      <c r="L235" s="63"/>
      <c r="M235" s="64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6"/>
      <c r="J236" s="63"/>
      <c r="K236" s="63"/>
      <c r="L236" s="63"/>
      <c r="M236" s="64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6"/>
      <c r="J237" s="63"/>
      <c r="K237" s="63"/>
      <c r="L237" s="63"/>
      <c r="M237" s="64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6"/>
      <c r="J238" s="63"/>
      <c r="K238" s="63"/>
      <c r="L238" s="63"/>
      <c r="M238" s="64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6"/>
      <c r="J239" s="63"/>
      <c r="K239" s="63"/>
      <c r="L239" s="63"/>
      <c r="M239" s="64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6"/>
      <c r="J240" s="63"/>
      <c r="K240" s="63"/>
      <c r="L240" s="63"/>
      <c r="M240" s="64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6"/>
      <c r="J241" s="63"/>
      <c r="K241" s="63"/>
      <c r="L241" s="63"/>
      <c r="M241" s="64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6"/>
      <c r="J242" s="63"/>
      <c r="K242" s="63"/>
      <c r="L242" s="63"/>
      <c r="M242" s="64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6"/>
      <c r="J243" s="63"/>
      <c r="K243" s="63"/>
      <c r="L243" s="63"/>
      <c r="M243" s="64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6"/>
      <c r="J244" s="63"/>
      <c r="K244" s="63"/>
      <c r="L244" s="63"/>
      <c r="M244" s="64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6"/>
      <c r="J245" s="63"/>
      <c r="K245" s="63"/>
      <c r="L245" s="63"/>
      <c r="M245" s="64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6"/>
      <c r="J246" s="63"/>
      <c r="K246" s="63"/>
      <c r="L246" s="63"/>
      <c r="M246" s="64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6"/>
      <c r="J247" s="63"/>
      <c r="K247" s="63"/>
      <c r="L247" s="63"/>
      <c r="M247" s="64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6"/>
      <c r="J248" s="63"/>
      <c r="K248" s="63"/>
      <c r="L248" s="63"/>
      <c r="M248" s="64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6"/>
      <c r="J249" s="63"/>
      <c r="K249" s="63"/>
      <c r="L249" s="63"/>
      <c r="M249" s="64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6"/>
      <c r="J250" s="63"/>
      <c r="K250" s="63"/>
      <c r="L250" s="63"/>
      <c r="M250" s="64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6"/>
      <c r="J251" s="63"/>
      <c r="K251" s="63"/>
      <c r="L251" s="63"/>
      <c r="M251" s="64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6"/>
      <c r="J252" s="63"/>
      <c r="K252" s="63"/>
      <c r="L252" s="63"/>
      <c r="M252" s="64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6"/>
      <c r="J253" s="63"/>
      <c r="K253" s="63"/>
      <c r="L253" s="63"/>
      <c r="M253" s="64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6"/>
      <c r="J254" s="63"/>
      <c r="K254" s="63"/>
      <c r="L254" s="63"/>
      <c r="M254" s="64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6"/>
      <c r="J255" s="63"/>
      <c r="K255" s="63"/>
      <c r="L255" s="63"/>
      <c r="M255" s="64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6"/>
      <c r="J256" s="63"/>
      <c r="K256" s="63"/>
      <c r="L256" s="63"/>
      <c r="M256" s="64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6"/>
      <c r="J257" s="63"/>
      <c r="K257" s="63"/>
      <c r="L257" s="63"/>
      <c r="M257" s="64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6"/>
      <c r="J258" s="63"/>
      <c r="K258" s="63"/>
      <c r="L258" s="63"/>
      <c r="M258" s="64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6"/>
      <c r="J259" s="63"/>
      <c r="K259" s="63"/>
      <c r="L259" s="63"/>
      <c r="M259" s="64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6"/>
      <c r="J260" s="63"/>
      <c r="K260" s="63"/>
      <c r="L260" s="63"/>
      <c r="M260" s="64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6"/>
      <c r="J261" s="63"/>
      <c r="K261" s="63"/>
      <c r="L261" s="63"/>
      <c r="M261" s="64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6"/>
      <c r="J262" s="63"/>
      <c r="K262" s="63"/>
      <c r="L262" s="63"/>
      <c r="M262" s="64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6"/>
      <c r="J263" s="63"/>
      <c r="K263" s="63"/>
      <c r="L263" s="63"/>
      <c r="M263" s="64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6"/>
      <c r="J264" s="63"/>
      <c r="K264" s="63"/>
      <c r="L264" s="63"/>
      <c r="M264" s="64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6"/>
      <c r="J265" s="63"/>
      <c r="K265" s="63"/>
      <c r="L265" s="63"/>
      <c r="M265" s="64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6"/>
      <c r="J266" s="63"/>
      <c r="K266" s="63"/>
      <c r="L266" s="63"/>
      <c r="M266" s="64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6"/>
      <c r="J267" s="63"/>
      <c r="K267" s="63"/>
      <c r="L267" s="63"/>
      <c r="M267" s="64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6"/>
      <c r="J268" s="63"/>
      <c r="K268" s="63"/>
      <c r="L268" s="63"/>
      <c r="M268" s="64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6"/>
      <c r="J269" s="63"/>
      <c r="K269" s="63"/>
      <c r="L269" s="63"/>
      <c r="M269" s="64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6"/>
      <c r="J270" s="63"/>
      <c r="K270" s="63"/>
      <c r="L270" s="63"/>
      <c r="M270" s="64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6"/>
      <c r="J271" s="63"/>
      <c r="K271" s="63"/>
      <c r="L271" s="63"/>
      <c r="M271" s="64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6"/>
      <c r="J272" s="63"/>
      <c r="K272" s="63"/>
      <c r="L272" s="63"/>
      <c r="M272" s="64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6"/>
      <c r="J273" s="63"/>
      <c r="K273" s="63"/>
      <c r="L273" s="63"/>
      <c r="M273" s="64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6"/>
      <c r="J274" s="63"/>
      <c r="K274" s="63"/>
      <c r="L274" s="63"/>
      <c r="M274" s="64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6"/>
      <c r="J275" s="63"/>
      <c r="K275" s="63"/>
      <c r="L275" s="63"/>
      <c r="M275" s="64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6"/>
      <c r="J276" s="63"/>
      <c r="K276" s="63"/>
      <c r="L276" s="63"/>
      <c r="M276" s="64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6"/>
      <c r="J277" s="63"/>
      <c r="K277" s="63"/>
      <c r="L277" s="63"/>
      <c r="M277" s="64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6"/>
      <c r="J278" s="63"/>
      <c r="K278" s="63"/>
      <c r="L278" s="63"/>
      <c r="M278" s="64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6"/>
      <c r="J279" s="63"/>
      <c r="K279" s="63"/>
      <c r="L279" s="63"/>
      <c r="M279" s="64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6"/>
      <c r="J280" s="63"/>
      <c r="K280" s="63"/>
      <c r="L280" s="63"/>
      <c r="M280" s="64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6"/>
      <c r="J281" s="63"/>
      <c r="K281" s="63"/>
      <c r="L281" s="63"/>
      <c r="M281" s="64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6"/>
      <c r="J282" s="63"/>
      <c r="K282" s="63"/>
      <c r="L282" s="63"/>
      <c r="M282" s="64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6"/>
      <c r="J283" s="63"/>
      <c r="K283" s="63"/>
      <c r="L283" s="63"/>
      <c r="M283" s="64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6"/>
      <c r="J284" s="63"/>
      <c r="K284" s="63"/>
      <c r="L284" s="63"/>
      <c r="M284" s="64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6"/>
      <c r="J285" s="63"/>
      <c r="K285" s="63"/>
      <c r="L285" s="63"/>
      <c r="M285" s="64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6"/>
      <c r="J286" s="63"/>
      <c r="K286" s="63"/>
      <c r="L286" s="63"/>
      <c r="M286" s="64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6"/>
      <c r="J287" s="63"/>
      <c r="K287" s="63"/>
      <c r="L287" s="63"/>
      <c r="M287" s="64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6"/>
      <c r="J288" s="63"/>
      <c r="K288" s="63"/>
      <c r="L288" s="63"/>
      <c r="M288" s="64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6"/>
      <c r="J289" s="63"/>
      <c r="K289" s="63"/>
      <c r="L289" s="63"/>
      <c r="M289" s="64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6"/>
      <c r="J290" s="63"/>
      <c r="K290" s="63"/>
      <c r="L290" s="63"/>
      <c r="M290" s="64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6"/>
      <c r="J291" s="63"/>
      <c r="K291" s="63"/>
      <c r="L291" s="63"/>
      <c r="M291" s="64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6"/>
      <c r="J292" s="63"/>
      <c r="K292" s="63"/>
      <c r="L292" s="63"/>
      <c r="M292" s="64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6"/>
      <c r="J293" s="63"/>
      <c r="K293" s="63"/>
      <c r="L293" s="63"/>
      <c r="M293" s="64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6"/>
      <c r="J294" s="63"/>
      <c r="K294" s="63"/>
      <c r="L294" s="63"/>
      <c r="M294" s="64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6"/>
      <c r="J295" s="63"/>
      <c r="K295" s="63"/>
      <c r="L295" s="63"/>
      <c r="M295" s="64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6"/>
      <c r="J296" s="63"/>
      <c r="K296" s="63"/>
      <c r="L296" s="63"/>
      <c r="M296" s="64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6"/>
      <c r="J297" s="63"/>
      <c r="K297" s="63"/>
      <c r="L297" s="63"/>
      <c r="M297" s="64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6"/>
      <c r="J298" s="63"/>
      <c r="K298" s="63"/>
      <c r="L298" s="63"/>
      <c r="M298" s="64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6"/>
      <c r="J299" s="63"/>
      <c r="K299" s="63"/>
      <c r="L299" s="63"/>
      <c r="M299" s="64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6"/>
      <c r="J300" s="63"/>
      <c r="K300" s="63"/>
      <c r="L300" s="63"/>
      <c r="M300" s="64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6"/>
      <c r="J301" s="63"/>
      <c r="K301" s="63"/>
      <c r="L301" s="63"/>
      <c r="M301" s="64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6"/>
      <c r="J302" s="63"/>
      <c r="K302" s="63"/>
      <c r="L302" s="63"/>
      <c r="M302" s="64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6"/>
      <c r="J303" s="63"/>
      <c r="K303" s="63"/>
      <c r="L303" s="63"/>
      <c r="M303" s="64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6"/>
      <c r="J304" s="63"/>
      <c r="K304" s="63"/>
      <c r="L304" s="63"/>
      <c r="M304" s="64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6"/>
      <c r="J305" s="63"/>
      <c r="K305" s="63"/>
      <c r="L305" s="63"/>
      <c r="M305" s="64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6"/>
      <c r="J306" s="63"/>
      <c r="K306" s="63"/>
      <c r="L306" s="63"/>
      <c r="M306" s="64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6"/>
      <c r="J307" s="63"/>
      <c r="K307" s="63"/>
      <c r="L307" s="63"/>
      <c r="M307" s="64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6"/>
      <c r="J308" s="63"/>
      <c r="K308" s="63"/>
      <c r="L308" s="63"/>
      <c r="M308" s="64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6"/>
      <c r="J309" s="63"/>
      <c r="K309" s="63"/>
      <c r="L309" s="63"/>
      <c r="M309" s="64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6"/>
      <c r="J310" s="63"/>
      <c r="K310" s="63"/>
      <c r="L310" s="63"/>
      <c r="M310" s="64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6"/>
      <c r="J311" s="63"/>
      <c r="K311" s="63"/>
      <c r="L311" s="63"/>
      <c r="M311" s="64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6"/>
      <c r="J312" s="63"/>
      <c r="K312" s="63"/>
      <c r="L312" s="63"/>
      <c r="M312" s="64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6"/>
      <c r="J313" s="63"/>
      <c r="K313" s="63"/>
      <c r="L313" s="63"/>
      <c r="M313" s="64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6"/>
      <c r="J314" s="63"/>
      <c r="K314" s="63"/>
      <c r="L314" s="63"/>
      <c r="M314" s="64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6"/>
      <c r="J315" s="63"/>
      <c r="K315" s="63"/>
      <c r="L315" s="63"/>
      <c r="M315" s="64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6"/>
      <c r="J316" s="63"/>
      <c r="K316" s="63"/>
      <c r="L316" s="63"/>
      <c r="M316" s="64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6"/>
      <c r="J317" s="63"/>
      <c r="K317" s="63"/>
      <c r="L317" s="63"/>
      <c r="M317" s="64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6"/>
      <c r="J318" s="63"/>
      <c r="K318" s="63"/>
      <c r="L318" s="63"/>
      <c r="M318" s="64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6"/>
      <c r="J319" s="63"/>
      <c r="K319" s="63"/>
      <c r="L319" s="63"/>
      <c r="M319" s="64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6"/>
      <c r="J320" s="63"/>
      <c r="K320" s="63"/>
      <c r="L320" s="63"/>
      <c r="M320" s="64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6"/>
      <c r="J321" s="63"/>
      <c r="K321" s="63"/>
      <c r="L321" s="63"/>
      <c r="M321" s="64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6"/>
      <c r="J322" s="63"/>
      <c r="K322" s="63"/>
      <c r="L322" s="63"/>
      <c r="M322" s="64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6"/>
      <c r="J323" s="63"/>
      <c r="K323" s="63"/>
      <c r="L323" s="63"/>
      <c r="M323" s="64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6"/>
      <c r="J324" s="63"/>
      <c r="K324" s="63"/>
      <c r="L324" s="63"/>
      <c r="M324" s="64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6"/>
      <c r="J325" s="63"/>
      <c r="K325" s="63"/>
      <c r="L325" s="63"/>
      <c r="M325" s="64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6"/>
      <c r="J326" s="63"/>
      <c r="K326" s="63"/>
      <c r="L326" s="63"/>
      <c r="M326" s="64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6"/>
      <c r="J327" s="63"/>
      <c r="K327" s="63"/>
      <c r="L327" s="63"/>
      <c r="M327" s="64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6"/>
      <c r="J328" s="63"/>
      <c r="K328" s="63"/>
      <c r="L328" s="63"/>
      <c r="M328" s="64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6"/>
      <c r="J329" s="63"/>
      <c r="K329" s="63"/>
      <c r="L329" s="63"/>
      <c r="M329" s="64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6"/>
      <c r="J330" s="63"/>
      <c r="K330" s="63"/>
      <c r="L330" s="63"/>
      <c r="M330" s="64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6"/>
      <c r="J331" s="63"/>
      <c r="K331" s="63"/>
      <c r="L331" s="63"/>
      <c r="M331" s="64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6"/>
      <c r="J332" s="63"/>
      <c r="K332" s="63"/>
      <c r="L332" s="63"/>
      <c r="M332" s="64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6"/>
      <c r="J333" s="63"/>
      <c r="K333" s="63"/>
      <c r="L333" s="63"/>
      <c r="M333" s="64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6"/>
      <c r="J334" s="63"/>
      <c r="K334" s="63"/>
      <c r="L334" s="63"/>
      <c r="M334" s="64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6"/>
      <c r="J335" s="63"/>
      <c r="K335" s="63"/>
      <c r="L335" s="63"/>
      <c r="M335" s="64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6"/>
      <c r="J336" s="63"/>
      <c r="K336" s="63"/>
      <c r="L336" s="63"/>
      <c r="M336" s="64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6"/>
      <c r="J337" s="63"/>
      <c r="K337" s="63"/>
      <c r="L337" s="63"/>
      <c r="M337" s="64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6"/>
      <c r="J338" s="63"/>
      <c r="K338" s="63"/>
      <c r="L338" s="63"/>
      <c r="M338" s="64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6"/>
      <c r="J339" s="63"/>
      <c r="K339" s="63"/>
      <c r="L339" s="63"/>
      <c r="M339" s="64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6"/>
      <c r="J340" s="63"/>
      <c r="K340" s="63"/>
      <c r="L340" s="63"/>
      <c r="M340" s="64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6"/>
      <c r="J341" s="63"/>
      <c r="K341" s="63"/>
      <c r="L341" s="63"/>
      <c r="M341" s="64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6"/>
      <c r="J342" s="63"/>
      <c r="K342" s="63"/>
      <c r="L342" s="63"/>
      <c r="M342" s="64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6"/>
      <c r="J343" s="63"/>
      <c r="K343" s="63"/>
      <c r="L343" s="63"/>
      <c r="M343" s="64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6"/>
      <c r="J344" s="63"/>
      <c r="K344" s="63"/>
      <c r="L344" s="63"/>
      <c r="M344" s="64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6"/>
      <c r="J345" s="63"/>
      <c r="K345" s="63"/>
      <c r="L345" s="63"/>
      <c r="M345" s="64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6"/>
      <c r="J346" s="63"/>
      <c r="K346" s="63"/>
      <c r="L346" s="63"/>
      <c r="M346" s="64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6"/>
      <c r="J347" s="63"/>
      <c r="K347" s="63"/>
      <c r="L347" s="63"/>
      <c r="M347" s="64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6"/>
      <c r="J348" s="63"/>
      <c r="K348" s="63"/>
      <c r="L348" s="63"/>
      <c r="M348" s="64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6"/>
      <c r="J349" s="63"/>
      <c r="K349" s="63"/>
      <c r="L349" s="63"/>
      <c r="M349" s="64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6"/>
      <c r="J350" s="63"/>
      <c r="K350" s="63"/>
      <c r="L350" s="63"/>
      <c r="M350" s="64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6"/>
      <c r="J351" s="63"/>
      <c r="K351" s="63"/>
      <c r="L351" s="63"/>
      <c r="M351" s="64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6"/>
      <c r="J352" s="63"/>
      <c r="K352" s="63"/>
      <c r="L352" s="63"/>
      <c r="M352" s="64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6"/>
      <c r="J353" s="63"/>
      <c r="K353" s="63"/>
      <c r="L353" s="63"/>
      <c r="M353" s="64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6"/>
      <c r="J354" s="63"/>
      <c r="K354" s="63"/>
      <c r="L354" s="63"/>
      <c r="M354" s="64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6"/>
      <c r="J355" s="63"/>
      <c r="K355" s="63"/>
      <c r="L355" s="63"/>
      <c r="M355" s="64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6"/>
      <c r="J356" s="63"/>
      <c r="K356" s="63"/>
      <c r="L356" s="63"/>
      <c r="M356" s="64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6"/>
      <c r="J357" s="63"/>
      <c r="K357" s="63"/>
      <c r="L357" s="63"/>
      <c r="M357" s="64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6"/>
      <c r="J358" s="63"/>
      <c r="K358" s="63"/>
      <c r="L358" s="63"/>
      <c r="M358" s="64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6"/>
      <c r="J359" s="63"/>
      <c r="K359" s="63"/>
      <c r="L359" s="63"/>
      <c r="M359" s="64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6"/>
      <c r="J360" s="63"/>
      <c r="K360" s="63"/>
      <c r="L360" s="63"/>
      <c r="M360" s="64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6"/>
      <c r="J361" s="63"/>
      <c r="K361" s="63"/>
      <c r="L361" s="63"/>
      <c r="M361" s="64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6"/>
      <c r="J362" s="63"/>
      <c r="K362" s="63"/>
      <c r="L362" s="63"/>
      <c r="M362" s="64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6"/>
      <c r="J363" s="63"/>
      <c r="K363" s="63"/>
      <c r="L363" s="63"/>
      <c r="M363" s="64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6"/>
      <c r="J364" s="63"/>
      <c r="K364" s="63"/>
      <c r="L364" s="63"/>
      <c r="M364" s="64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6"/>
      <c r="J365" s="63"/>
      <c r="K365" s="63"/>
      <c r="L365" s="63"/>
      <c r="M365" s="64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6"/>
      <c r="J366" s="63"/>
      <c r="K366" s="63"/>
      <c r="L366" s="63"/>
      <c r="M366" s="64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6"/>
      <c r="J367" s="63"/>
      <c r="K367" s="63"/>
      <c r="L367" s="63"/>
      <c r="M367" s="64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6"/>
      <c r="J368" s="63"/>
      <c r="K368" s="63"/>
      <c r="L368" s="63"/>
      <c r="M368" s="64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6"/>
      <c r="J369" s="63"/>
      <c r="K369" s="63"/>
      <c r="L369" s="63"/>
      <c r="M369" s="64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6"/>
      <c r="J370" s="63"/>
      <c r="K370" s="63"/>
      <c r="L370" s="63"/>
      <c r="M370" s="64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6"/>
      <c r="J371" s="63"/>
      <c r="K371" s="63"/>
      <c r="L371" s="63"/>
      <c r="M371" s="64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6"/>
      <c r="J372" s="63"/>
      <c r="K372" s="63"/>
      <c r="L372" s="63"/>
      <c r="M372" s="64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6"/>
      <c r="J373" s="63"/>
      <c r="K373" s="63"/>
      <c r="L373" s="63"/>
      <c r="M373" s="64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6"/>
      <c r="J374" s="63"/>
      <c r="K374" s="63"/>
      <c r="L374" s="63"/>
      <c r="M374" s="64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6"/>
      <c r="J375" s="63"/>
      <c r="K375" s="63"/>
      <c r="L375" s="63"/>
      <c r="M375" s="64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6"/>
      <c r="J376" s="63"/>
      <c r="K376" s="63"/>
      <c r="L376" s="63"/>
      <c r="M376" s="64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6"/>
      <c r="J377" s="63"/>
      <c r="K377" s="63"/>
      <c r="L377" s="63"/>
      <c r="M377" s="64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6"/>
      <c r="J378" s="63"/>
      <c r="K378" s="63"/>
      <c r="L378" s="63"/>
      <c r="M378" s="64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6"/>
      <c r="J379" s="63"/>
      <c r="K379" s="63"/>
      <c r="L379" s="63"/>
      <c r="M379" s="64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6"/>
      <c r="J380" s="63"/>
      <c r="K380" s="63"/>
      <c r="L380" s="63"/>
      <c r="M380" s="64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6"/>
      <c r="J381" s="63"/>
      <c r="K381" s="63"/>
      <c r="L381" s="63"/>
      <c r="M381" s="64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6"/>
      <c r="J382" s="63"/>
      <c r="K382" s="63"/>
      <c r="L382" s="63"/>
      <c r="M382" s="64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6"/>
      <c r="J383" s="63"/>
      <c r="K383" s="63"/>
      <c r="L383" s="63"/>
      <c r="M383" s="64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6"/>
      <c r="J384" s="63"/>
      <c r="K384" s="63"/>
      <c r="L384" s="63"/>
      <c r="M384" s="64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6"/>
      <c r="J385" s="63"/>
      <c r="K385" s="63"/>
      <c r="L385" s="63"/>
      <c r="M385" s="64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6"/>
      <c r="J386" s="63"/>
      <c r="K386" s="63"/>
      <c r="L386" s="63"/>
      <c r="M386" s="64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6"/>
      <c r="J387" s="63"/>
      <c r="K387" s="63"/>
      <c r="L387" s="63"/>
      <c r="M387" s="64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6"/>
      <c r="J388" s="63"/>
      <c r="K388" s="63"/>
      <c r="L388" s="63"/>
      <c r="M388" s="64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6"/>
      <c r="J389" s="63"/>
      <c r="K389" s="63"/>
      <c r="L389" s="63"/>
      <c r="M389" s="64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6"/>
      <c r="J390" s="63"/>
      <c r="K390" s="63"/>
      <c r="L390" s="63"/>
      <c r="M390" s="64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6"/>
      <c r="J391" s="63"/>
      <c r="K391" s="63"/>
      <c r="L391" s="63"/>
      <c r="M391" s="64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6"/>
      <c r="J392" s="63"/>
      <c r="K392" s="63"/>
      <c r="L392" s="63"/>
      <c r="M392" s="64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6"/>
      <c r="J393" s="63"/>
      <c r="K393" s="63"/>
      <c r="L393" s="63"/>
      <c r="M393" s="64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6"/>
      <c r="J394" s="63"/>
      <c r="K394" s="63"/>
      <c r="L394" s="63"/>
      <c r="M394" s="64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6"/>
      <c r="J395" s="63"/>
      <c r="K395" s="63"/>
      <c r="L395" s="63"/>
      <c r="M395" s="64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6"/>
      <c r="J396" s="63"/>
      <c r="K396" s="63"/>
      <c r="L396" s="63"/>
      <c r="M396" s="64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6"/>
      <c r="J397" s="63"/>
      <c r="K397" s="63"/>
      <c r="L397" s="63"/>
      <c r="M397" s="64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6"/>
      <c r="J398" s="63"/>
      <c r="K398" s="63"/>
      <c r="L398" s="63"/>
      <c r="M398" s="64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6"/>
      <c r="J399" s="63"/>
      <c r="K399" s="63"/>
      <c r="L399" s="63"/>
      <c r="M399" s="64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6"/>
      <c r="J400" s="63"/>
      <c r="K400" s="63"/>
      <c r="L400" s="63"/>
      <c r="M400" s="64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6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6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6"/>
      <c r="J403" s="63"/>
      <c r="K403" s="63"/>
      <c r="L403" s="63"/>
      <c r="M403" s="64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6"/>
      <c r="J404" s="63"/>
      <c r="K404" s="63"/>
      <c r="L404" s="63"/>
      <c r="M404" s="64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6"/>
      <c r="J405" s="63"/>
      <c r="K405" s="63"/>
      <c r="L405" s="63"/>
      <c r="M405" s="64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6"/>
      <c r="J406" s="63"/>
      <c r="K406" s="63"/>
      <c r="L406" s="63"/>
      <c r="M406" s="64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6"/>
      <c r="J407" s="63"/>
      <c r="K407" s="63"/>
      <c r="L407" s="63"/>
      <c r="M407" s="64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6"/>
      <c r="J408" s="63"/>
      <c r="K408" s="63"/>
      <c r="L408" s="63"/>
      <c r="M408" s="64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6"/>
      <c r="J409" s="63"/>
      <c r="K409" s="63"/>
      <c r="L409" s="63"/>
      <c r="M409" s="64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6"/>
      <c r="J410" s="63"/>
      <c r="K410" s="63"/>
      <c r="L410" s="63"/>
      <c r="M410" s="64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6"/>
      <c r="J411" s="63"/>
      <c r="K411" s="63"/>
      <c r="L411" s="63"/>
      <c r="M411" s="64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6"/>
      <c r="J412" s="63"/>
      <c r="K412" s="63"/>
      <c r="L412" s="63"/>
      <c r="M412" s="64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6"/>
      <c r="J413" s="63"/>
      <c r="K413" s="63"/>
      <c r="L413" s="63"/>
      <c r="M413" s="64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6"/>
      <c r="J414" s="63"/>
      <c r="K414" s="63"/>
      <c r="L414" s="63"/>
      <c r="M414" s="64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6"/>
      <c r="J415" s="63"/>
      <c r="K415" s="63"/>
      <c r="L415" s="63"/>
      <c r="M415" s="64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6"/>
      <c r="J416" s="63"/>
      <c r="K416" s="63"/>
      <c r="L416" s="63"/>
      <c r="M416" s="64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6"/>
      <c r="J417" s="63"/>
      <c r="K417" s="63"/>
      <c r="L417" s="63"/>
      <c r="M417" s="64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6"/>
      <c r="J418" s="63"/>
      <c r="K418" s="63"/>
      <c r="L418" s="63"/>
      <c r="M418" s="64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6"/>
      <c r="J419" s="63"/>
      <c r="K419" s="63"/>
      <c r="L419" s="63"/>
      <c r="M419" s="64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6"/>
      <c r="J420" s="63"/>
      <c r="K420" s="63"/>
      <c r="L420" s="63"/>
      <c r="M420" s="64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6"/>
      <c r="J421" s="63"/>
      <c r="K421" s="63"/>
      <c r="L421" s="63"/>
      <c r="M421" s="64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6"/>
      <c r="J422" s="63"/>
      <c r="K422" s="63"/>
      <c r="L422" s="63"/>
      <c r="M422" s="64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6"/>
      <c r="J423" s="63"/>
      <c r="K423" s="63"/>
      <c r="L423" s="63"/>
      <c r="M423" s="64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6"/>
      <c r="J424" s="63"/>
      <c r="K424" s="63"/>
      <c r="L424" s="63"/>
      <c r="M424" s="64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6"/>
      <c r="J425" s="63"/>
      <c r="K425" s="63"/>
      <c r="L425" s="63"/>
      <c r="M425" s="64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6"/>
      <c r="J426" s="63"/>
      <c r="K426" s="63"/>
      <c r="L426" s="63"/>
      <c r="M426" s="64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6"/>
      <c r="J427" s="63"/>
      <c r="K427" s="63"/>
      <c r="L427" s="63"/>
      <c r="M427" s="64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6"/>
      <c r="J428" s="63"/>
      <c r="K428" s="63"/>
      <c r="L428" s="63"/>
      <c r="M428" s="64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6"/>
      <c r="J429" s="63"/>
      <c r="K429" s="63"/>
      <c r="L429" s="63"/>
      <c r="M429" s="64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6"/>
      <c r="J430" s="63"/>
      <c r="K430" s="63"/>
      <c r="L430" s="63"/>
      <c r="M430" s="64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6"/>
      <c r="J431" s="63"/>
      <c r="K431" s="63"/>
      <c r="L431" s="63"/>
      <c r="M431" s="64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6"/>
      <c r="J432" s="63"/>
      <c r="K432" s="63"/>
      <c r="L432" s="63"/>
      <c r="M432" s="64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6"/>
      <c r="J433" s="63"/>
      <c r="K433" s="63"/>
      <c r="L433" s="63"/>
      <c r="M433" s="64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6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6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6"/>
      <c r="J436" s="63"/>
      <c r="K436" s="63"/>
      <c r="L436" s="63"/>
      <c r="M436" s="64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6"/>
      <c r="J437" s="63"/>
      <c r="K437" s="63"/>
      <c r="L437" s="63"/>
      <c r="M437" s="64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6"/>
      <c r="J438" s="63"/>
      <c r="K438" s="63"/>
      <c r="L438" s="63"/>
      <c r="M438" s="64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6"/>
      <c r="J439" s="63"/>
      <c r="K439" s="63"/>
      <c r="L439" s="63"/>
      <c r="M439" s="64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6"/>
      <c r="J440" s="63"/>
      <c r="K440" s="63"/>
      <c r="L440" s="63"/>
      <c r="M440" s="64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6"/>
      <c r="J441" s="63"/>
      <c r="K441" s="63"/>
      <c r="L441" s="63"/>
      <c r="M441" s="64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6"/>
      <c r="J442" s="63"/>
      <c r="K442" s="63"/>
      <c r="L442" s="63"/>
      <c r="M442" s="64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6"/>
      <c r="J443" s="63"/>
      <c r="K443" s="63"/>
      <c r="L443" s="63"/>
      <c r="M443" s="64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6"/>
      <c r="J444" s="63"/>
      <c r="K444" s="63"/>
      <c r="L444" s="63"/>
      <c r="M444" s="64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6"/>
      <c r="J445" s="63"/>
      <c r="K445" s="63"/>
      <c r="L445" s="63"/>
      <c r="M445" s="64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6"/>
      <c r="J446" s="63"/>
      <c r="K446" s="63"/>
      <c r="L446" s="63"/>
      <c r="M446" s="64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6"/>
      <c r="J447" s="63"/>
      <c r="K447" s="63"/>
      <c r="L447" s="63"/>
      <c r="M447" s="64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6"/>
      <c r="J448" s="63"/>
      <c r="K448" s="63"/>
      <c r="L448" s="63"/>
      <c r="M448" s="64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6"/>
      <c r="J449" s="63"/>
      <c r="K449" s="63"/>
      <c r="L449" s="63"/>
      <c r="M449" s="64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6"/>
      <c r="J450" s="63"/>
      <c r="K450" s="63"/>
      <c r="L450" s="63"/>
      <c r="M450" s="64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6"/>
      <c r="J451" s="63"/>
      <c r="K451" s="63"/>
      <c r="L451" s="63"/>
      <c r="M451" s="64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6"/>
      <c r="J452" s="63"/>
      <c r="K452" s="63"/>
      <c r="L452" s="63"/>
      <c r="M452" s="64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6"/>
      <c r="J453" s="63"/>
      <c r="K453" s="63"/>
      <c r="L453" s="63"/>
      <c r="M453" s="64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6"/>
      <c r="J454" s="63"/>
      <c r="K454" s="63"/>
      <c r="L454" s="63"/>
      <c r="M454" s="64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6"/>
      <c r="J455" s="63"/>
      <c r="K455" s="63"/>
      <c r="L455" s="63"/>
      <c r="M455" s="64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6"/>
      <c r="J456" s="63"/>
      <c r="K456" s="63"/>
      <c r="L456" s="63"/>
      <c r="M456" s="64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6"/>
      <c r="J457" s="63"/>
      <c r="K457" s="63"/>
      <c r="L457" s="63"/>
      <c r="M457" s="64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6"/>
      <c r="J458" s="63"/>
      <c r="K458" s="63"/>
      <c r="L458" s="63"/>
      <c r="M458" s="64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6"/>
      <c r="J459" s="63"/>
      <c r="K459" s="63"/>
      <c r="L459" s="63"/>
      <c r="M459" s="64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6"/>
      <c r="J460" s="63"/>
      <c r="K460" s="63"/>
      <c r="L460" s="63"/>
      <c r="M460" s="64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6"/>
      <c r="J461" s="63"/>
      <c r="K461" s="63"/>
      <c r="L461" s="63"/>
      <c r="M461" s="64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6"/>
      <c r="J462" s="63"/>
      <c r="K462" s="63"/>
      <c r="L462" s="63"/>
      <c r="M462" s="64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6"/>
      <c r="J463" s="63"/>
      <c r="K463" s="63"/>
      <c r="L463" s="63"/>
      <c r="M463" s="64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6"/>
      <c r="J464" s="63"/>
      <c r="K464" s="63"/>
      <c r="L464" s="63"/>
      <c r="M464" s="64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6"/>
      <c r="J465" s="63"/>
      <c r="K465" s="63"/>
      <c r="L465" s="63"/>
      <c r="M465" s="64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6"/>
      <c r="J466" s="63"/>
      <c r="K466" s="63"/>
      <c r="L466" s="63"/>
      <c r="M466" s="64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6"/>
      <c r="J467" s="63"/>
      <c r="K467" s="63"/>
      <c r="L467" s="63"/>
      <c r="M467" s="64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6"/>
      <c r="J468" s="63"/>
      <c r="K468" s="63"/>
      <c r="L468" s="63"/>
      <c r="M468" s="64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6"/>
      <c r="J469" s="63"/>
      <c r="K469" s="63"/>
      <c r="L469" s="63"/>
      <c r="M469" s="64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6"/>
      <c r="J470" s="63"/>
      <c r="K470" s="63"/>
      <c r="L470" s="63"/>
      <c r="M470" s="64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6"/>
      <c r="J471" s="63"/>
      <c r="K471" s="63"/>
      <c r="L471" s="63"/>
      <c r="M471" s="64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6"/>
      <c r="J472" s="63"/>
      <c r="K472" s="63"/>
      <c r="L472" s="63"/>
      <c r="M472" s="64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6"/>
      <c r="J473" s="63"/>
      <c r="K473" s="63"/>
      <c r="L473" s="63"/>
      <c r="M473" s="64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6"/>
      <c r="J474" s="63"/>
      <c r="K474" s="63"/>
      <c r="L474" s="63"/>
      <c r="M474" s="64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6"/>
      <c r="J475" s="63"/>
      <c r="K475" s="63"/>
      <c r="L475" s="63"/>
      <c r="M475" s="64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6"/>
      <c r="J476" s="63"/>
      <c r="K476" s="63"/>
      <c r="L476" s="63"/>
      <c r="M476" s="64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6"/>
      <c r="J477" s="63"/>
      <c r="K477" s="63"/>
      <c r="L477" s="63"/>
      <c r="M477" s="64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6"/>
      <c r="J478" s="63"/>
      <c r="K478" s="63"/>
      <c r="L478" s="63"/>
      <c r="M478" s="64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6"/>
      <c r="J479" s="63"/>
      <c r="K479" s="63"/>
      <c r="L479" s="63"/>
      <c r="M479" s="64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6"/>
      <c r="J480" s="63"/>
      <c r="K480" s="63"/>
      <c r="L480" s="63"/>
      <c r="M480" s="64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6"/>
      <c r="J481" s="63"/>
      <c r="K481" s="63"/>
      <c r="L481" s="63"/>
      <c r="M481" s="64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6"/>
      <c r="J482" s="63"/>
      <c r="K482" s="63"/>
      <c r="L482" s="63"/>
      <c r="M482" s="64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6"/>
      <c r="J483" s="63"/>
      <c r="K483" s="63"/>
      <c r="L483" s="63"/>
      <c r="M483" s="64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6"/>
      <c r="J484" s="63"/>
      <c r="K484" s="63"/>
      <c r="L484" s="63"/>
      <c r="M484" s="64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6"/>
      <c r="J485" s="63"/>
      <c r="K485" s="63"/>
      <c r="L485" s="63"/>
      <c r="M485" s="64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6"/>
      <c r="J486" s="63"/>
      <c r="K486" s="63"/>
      <c r="L486" s="63"/>
      <c r="M486" s="64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6"/>
      <c r="J487" s="63"/>
      <c r="K487" s="63"/>
      <c r="L487" s="63"/>
      <c r="M487" s="64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6"/>
      <c r="J488" s="63"/>
      <c r="K488" s="63"/>
      <c r="L488" s="63"/>
      <c r="M488" s="64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6"/>
      <c r="J489" s="63"/>
      <c r="K489" s="63"/>
      <c r="L489" s="63"/>
      <c r="M489" s="64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6"/>
      <c r="J490" s="63"/>
      <c r="K490" s="63"/>
      <c r="L490" s="63"/>
      <c r="M490" s="64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6"/>
      <c r="J491" s="63"/>
      <c r="K491" s="63"/>
      <c r="L491" s="63"/>
      <c r="M491" s="64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6"/>
      <c r="J492" s="63"/>
      <c r="K492" s="63"/>
      <c r="L492" s="63"/>
      <c r="M492" s="64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6"/>
      <c r="J493" s="63"/>
      <c r="K493" s="63"/>
      <c r="L493" s="63"/>
      <c r="M493" s="64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6"/>
      <c r="J494" s="63"/>
      <c r="K494" s="63"/>
      <c r="L494" s="63"/>
      <c r="M494" s="64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6"/>
      <c r="J495" s="63"/>
      <c r="K495" s="63"/>
      <c r="L495" s="63"/>
      <c r="M495" s="64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6"/>
      <c r="J496" s="63"/>
      <c r="K496" s="63"/>
      <c r="L496" s="63"/>
      <c r="M496" s="64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6"/>
      <c r="J497" s="63"/>
      <c r="K497" s="63"/>
      <c r="L497" s="63"/>
      <c r="M497" s="64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6"/>
      <c r="J498" s="63"/>
      <c r="K498" s="63"/>
      <c r="L498" s="63"/>
      <c r="M498" s="64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6"/>
      <c r="J499" s="63"/>
      <c r="K499" s="63"/>
      <c r="L499" s="63"/>
      <c r="M499" s="64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6"/>
      <c r="J500" s="63"/>
      <c r="K500" s="63"/>
      <c r="L500" s="63"/>
      <c r="M500" s="64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6"/>
      <c r="J501" s="63"/>
      <c r="K501" s="63"/>
      <c r="L501" s="63"/>
      <c r="M501" s="64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6"/>
      <c r="J502" s="63"/>
      <c r="K502" s="63"/>
      <c r="L502" s="63"/>
      <c r="M502" s="64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6"/>
      <c r="J503" s="63"/>
      <c r="K503" s="63"/>
      <c r="L503" s="63"/>
      <c r="M503" s="64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6"/>
      <c r="J504" s="63"/>
      <c r="K504" s="63"/>
      <c r="L504" s="63"/>
      <c r="M504" s="64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6"/>
      <c r="J505" s="63"/>
      <c r="K505" s="63"/>
      <c r="L505" s="63"/>
      <c r="M505" s="64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6"/>
      <c r="J506" s="63"/>
      <c r="K506" s="63"/>
      <c r="L506" s="63"/>
      <c r="M506" s="64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6"/>
      <c r="J507" s="63"/>
      <c r="K507" s="63"/>
      <c r="L507" s="63"/>
      <c r="M507" s="64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6"/>
      <c r="J508" s="63"/>
      <c r="K508" s="63"/>
      <c r="L508" s="63"/>
      <c r="M508" s="64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6"/>
      <c r="J509" s="63"/>
      <c r="K509" s="63"/>
      <c r="L509" s="63"/>
      <c r="M509" s="64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6"/>
      <c r="J510" s="63"/>
      <c r="K510" s="63"/>
      <c r="L510" s="63"/>
      <c r="M510" s="64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6"/>
      <c r="J511" s="63"/>
      <c r="K511" s="63"/>
      <c r="L511" s="63"/>
      <c r="M511" s="64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6"/>
      <c r="J512" s="63"/>
      <c r="K512" s="63"/>
      <c r="L512" s="63"/>
      <c r="M512" s="64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6"/>
      <c r="J513" s="63"/>
      <c r="K513" s="63"/>
      <c r="L513" s="63"/>
      <c r="M513" s="64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6"/>
      <c r="J514" s="63"/>
      <c r="K514" s="63"/>
      <c r="L514" s="63"/>
      <c r="M514" s="64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6"/>
      <c r="J515" s="63"/>
      <c r="K515" s="63"/>
      <c r="L515" s="63"/>
      <c r="M515" s="64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6"/>
      <c r="J516" s="63"/>
      <c r="K516" s="63"/>
      <c r="L516" s="63"/>
      <c r="M516" s="64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6"/>
      <c r="J517" s="63"/>
      <c r="K517" s="63"/>
      <c r="L517" s="63"/>
      <c r="M517" s="64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6"/>
      <c r="J518" s="63"/>
      <c r="K518" s="63"/>
      <c r="L518" s="63"/>
      <c r="M518" s="64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6"/>
      <c r="J519" s="63"/>
      <c r="K519" s="63"/>
      <c r="L519" s="63"/>
      <c r="M519" s="64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6"/>
      <c r="J520" s="63"/>
      <c r="K520" s="63"/>
      <c r="L520" s="63"/>
      <c r="M520" s="64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6"/>
      <c r="J521" s="63"/>
      <c r="K521" s="63"/>
      <c r="L521" s="63"/>
      <c r="M521" s="64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6"/>
      <c r="J522" s="63"/>
      <c r="K522" s="63"/>
      <c r="L522" s="63"/>
      <c r="M522" s="64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6"/>
      <c r="J523" s="63"/>
      <c r="K523" s="63"/>
      <c r="L523" s="63"/>
      <c r="M523" s="64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6"/>
      <c r="J524" s="63"/>
      <c r="K524" s="63"/>
      <c r="L524" s="63"/>
      <c r="M524" s="64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6"/>
      <c r="J525" s="63"/>
      <c r="K525" s="63"/>
      <c r="L525" s="63"/>
      <c r="M525" s="64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6"/>
      <c r="J526" s="63"/>
      <c r="K526" s="63"/>
      <c r="L526" s="63"/>
      <c r="M526" s="64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6"/>
      <c r="J527" s="63"/>
      <c r="K527" s="63"/>
      <c r="L527" s="63"/>
      <c r="M527" s="64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6"/>
      <c r="J528" s="63"/>
      <c r="K528" s="63"/>
      <c r="L528" s="63"/>
      <c r="M528" s="64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6"/>
      <c r="J529" s="63"/>
      <c r="K529" s="63"/>
      <c r="L529" s="63"/>
      <c r="M529" s="64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6"/>
      <c r="J530" s="63"/>
      <c r="K530" s="63"/>
      <c r="L530" s="63"/>
      <c r="M530" s="64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6"/>
      <c r="J531" s="63"/>
      <c r="K531" s="63"/>
      <c r="L531" s="63"/>
      <c r="M531" s="64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6"/>
      <c r="J532" s="63"/>
      <c r="K532" s="63"/>
      <c r="L532" s="63"/>
      <c r="M532" s="64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6"/>
      <c r="J533" s="63"/>
      <c r="K533" s="63"/>
      <c r="L533" s="63"/>
      <c r="M533" s="64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6"/>
      <c r="J534" s="63"/>
      <c r="K534" s="63"/>
      <c r="L534" s="63"/>
      <c r="M534" s="64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6"/>
      <c r="J535" s="63"/>
      <c r="K535" s="63"/>
      <c r="L535" s="63"/>
      <c r="M535" s="64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6"/>
      <c r="J536" s="63"/>
      <c r="K536" s="63"/>
      <c r="L536" s="63"/>
      <c r="M536" s="64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6"/>
      <c r="J537" s="63"/>
      <c r="K537" s="63"/>
      <c r="L537" s="63"/>
      <c r="M537" s="64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6"/>
      <c r="J538" s="63"/>
      <c r="K538" s="63"/>
      <c r="L538" s="63"/>
      <c r="M538" s="64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6"/>
      <c r="J539" s="63"/>
      <c r="K539" s="63"/>
      <c r="L539" s="63"/>
      <c r="M539" s="64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6"/>
      <c r="J540" s="63"/>
      <c r="K540" s="63"/>
      <c r="L540" s="63"/>
      <c r="M540" s="64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6"/>
      <c r="J541" s="63"/>
      <c r="K541" s="63"/>
      <c r="L541" s="63"/>
      <c r="M541" s="64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6"/>
      <c r="J542" s="63"/>
      <c r="K542" s="63"/>
      <c r="L542" s="63"/>
      <c r="M542" s="64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6"/>
      <c r="J543" s="63"/>
      <c r="K543" s="63"/>
      <c r="L543" s="63"/>
      <c r="M543" s="64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6"/>
      <c r="J544" s="63"/>
      <c r="K544" s="63"/>
      <c r="L544" s="63"/>
      <c r="M544" s="64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6"/>
      <c r="J545" s="63"/>
      <c r="K545" s="63"/>
      <c r="L545" s="63"/>
      <c r="M545" s="64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6"/>
      <c r="J546" s="63"/>
      <c r="K546" s="63"/>
      <c r="L546" s="63"/>
      <c r="M546" s="64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6"/>
      <c r="J547" s="63"/>
      <c r="K547" s="63"/>
      <c r="L547" s="63"/>
      <c r="M547" s="64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6"/>
      <c r="J548" s="63"/>
      <c r="K548" s="63"/>
      <c r="L548" s="63"/>
      <c r="M548" s="64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6"/>
      <c r="J549" s="63"/>
      <c r="K549" s="63"/>
      <c r="L549" s="63"/>
      <c r="M549" s="64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6"/>
      <c r="J550" s="63"/>
      <c r="K550" s="63"/>
      <c r="L550" s="63"/>
      <c r="M550" s="64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6"/>
      <c r="J551" s="63"/>
      <c r="K551" s="63"/>
      <c r="L551" s="63"/>
      <c r="M551" s="64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6"/>
      <c r="J552" s="63"/>
      <c r="K552" s="63"/>
      <c r="L552" s="63"/>
      <c r="M552" s="64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6"/>
      <c r="J553" s="63"/>
      <c r="K553" s="63"/>
      <c r="L553" s="63"/>
      <c r="M553" s="64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6"/>
      <c r="J554" s="63"/>
      <c r="K554" s="63"/>
      <c r="L554" s="63"/>
      <c r="M554" s="64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6"/>
      <c r="J555" s="63"/>
      <c r="K555" s="63"/>
      <c r="L555" s="63"/>
      <c r="M555" s="64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6"/>
      <c r="J556" s="63"/>
      <c r="K556" s="63"/>
      <c r="L556" s="63"/>
      <c r="M556" s="64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6"/>
      <c r="J557" s="63"/>
      <c r="K557" s="63"/>
      <c r="L557" s="63"/>
      <c r="M557" s="64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6"/>
      <c r="J558" s="63"/>
      <c r="K558" s="63"/>
      <c r="L558" s="63"/>
      <c r="M558" s="64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6"/>
      <c r="J559" s="63"/>
      <c r="K559" s="63"/>
      <c r="L559" s="63"/>
      <c r="M559" s="64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6"/>
      <c r="J560" s="63"/>
      <c r="K560" s="63"/>
      <c r="L560" s="63"/>
      <c r="M560" s="64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6"/>
      <c r="J561" s="63"/>
      <c r="K561" s="63"/>
      <c r="L561" s="63"/>
      <c r="M561" s="64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6"/>
      <c r="J562" s="63"/>
      <c r="K562" s="63"/>
      <c r="L562" s="63"/>
      <c r="M562" s="64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6"/>
      <c r="J563" s="63"/>
      <c r="K563" s="63"/>
      <c r="L563" s="63"/>
      <c r="M563" s="64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6"/>
      <c r="J564" s="63"/>
      <c r="K564" s="63"/>
      <c r="L564" s="63"/>
      <c r="M564" s="64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6"/>
      <c r="J565" s="63"/>
      <c r="K565" s="63"/>
      <c r="L565" s="63"/>
      <c r="M565" s="64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6"/>
      <c r="J566" s="63"/>
      <c r="K566" s="63"/>
      <c r="L566" s="63"/>
      <c r="M566" s="64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6"/>
      <c r="J567" s="63"/>
      <c r="K567" s="63"/>
      <c r="L567" s="63"/>
      <c r="M567" s="64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6"/>
      <c r="J568" s="63"/>
      <c r="K568" s="63"/>
      <c r="L568" s="63"/>
      <c r="M568" s="64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6"/>
      <c r="J569" s="63"/>
      <c r="K569" s="63"/>
      <c r="L569" s="63"/>
      <c r="M569" s="64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6"/>
      <c r="J570" s="63"/>
      <c r="K570" s="63"/>
      <c r="L570" s="63"/>
      <c r="M570" s="64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6"/>
      <c r="J571" s="63"/>
      <c r="K571" s="63"/>
      <c r="L571" s="63"/>
      <c r="M571" s="64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6"/>
      <c r="J572" s="63"/>
      <c r="K572" s="63"/>
      <c r="L572" s="63"/>
      <c r="M572" s="64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6"/>
      <c r="J573" s="63"/>
      <c r="K573" s="63"/>
      <c r="L573" s="63"/>
      <c r="M573" s="64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6"/>
      <c r="J574" s="63"/>
      <c r="K574" s="63"/>
      <c r="L574" s="63"/>
      <c r="M574" s="64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6"/>
      <c r="J575" s="63"/>
      <c r="K575" s="63"/>
      <c r="L575" s="63"/>
      <c r="M575" s="64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6"/>
      <c r="J576" s="63"/>
      <c r="K576" s="63"/>
      <c r="L576" s="63"/>
      <c r="M576" s="64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6"/>
      <c r="J577" s="63"/>
      <c r="K577" s="63"/>
      <c r="L577" s="63"/>
      <c r="M577" s="64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6"/>
      <c r="J578" s="63"/>
      <c r="K578" s="63"/>
      <c r="L578" s="63"/>
      <c r="M578" s="64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6"/>
      <c r="J579" s="63"/>
      <c r="K579" s="63"/>
      <c r="L579" s="63"/>
      <c r="M579" s="64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6"/>
      <c r="J580" s="63"/>
      <c r="K580" s="63"/>
      <c r="L580" s="63"/>
      <c r="M580" s="64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6"/>
      <c r="J581" s="63"/>
      <c r="K581" s="63"/>
      <c r="L581" s="63"/>
      <c r="M581" s="64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6"/>
      <c r="J582" s="63"/>
      <c r="K582" s="63"/>
      <c r="L582" s="63"/>
      <c r="M582" s="64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6"/>
      <c r="J583" s="63"/>
      <c r="K583" s="63"/>
      <c r="L583" s="63"/>
      <c r="M583" s="64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6"/>
      <c r="J584" s="63"/>
      <c r="K584" s="63"/>
      <c r="L584" s="63"/>
      <c r="M584" s="64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6"/>
      <c r="J585" s="63"/>
      <c r="K585" s="63"/>
      <c r="L585" s="63"/>
      <c r="M585" s="64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6"/>
      <c r="J586" s="63"/>
      <c r="K586" s="63"/>
      <c r="L586" s="63"/>
      <c r="M586" s="64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6"/>
      <c r="J587" s="63"/>
      <c r="K587" s="63"/>
      <c r="L587" s="63"/>
      <c r="M587" s="64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6"/>
      <c r="J588" s="63"/>
      <c r="K588" s="63"/>
      <c r="L588" s="63"/>
      <c r="M588" s="64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6"/>
      <c r="J589" s="63"/>
      <c r="K589" s="63"/>
      <c r="L589" s="63"/>
      <c r="M589" s="64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6"/>
      <c r="J590" s="63"/>
      <c r="K590" s="63"/>
      <c r="L590" s="63"/>
      <c r="M590" s="64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6"/>
      <c r="J591" s="63"/>
      <c r="K591" s="63"/>
      <c r="L591" s="63"/>
      <c r="M591" s="64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6"/>
      <c r="J592" s="63"/>
      <c r="K592" s="63"/>
      <c r="L592" s="63"/>
      <c r="M592" s="64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6"/>
      <c r="J593" s="63"/>
      <c r="K593" s="63"/>
      <c r="L593" s="63"/>
      <c r="M593" s="64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6"/>
      <c r="J594" s="63"/>
      <c r="K594" s="63"/>
      <c r="L594" s="63"/>
      <c r="M594" s="64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6"/>
      <c r="J595" s="63"/>
      <c r="K595" s="63"/>
      <c r="L595" s="63"/>
      <c r="M595" s="64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6"/>
      <c r="J596" s="63"/>
      <c r="K596" s="63"/>
      <c r="L596" s="63"/>
      <c r="M596" s="64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6"/>
      <c r="J597" s="63"/>
      <c r="K597" s="63"/>
      <c r="L597" s="63"/>
      <c r="M597" s="64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6"/>
      <c r="J598" s="63"/>
      <c r="K598" s="63"/>
      <c r="L598" s="63"/>
      <c r="M598" s="64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6"/>
      <c r="J599" s="63"/>
      <c r="K599" s="63"/>
      <c r="L599" s="63"/>
      <c r="M599" s="64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6"/>
      <c r="J600" s="63"/>
      <c r="K600" s="63"/>
      <c r="L600" s="63"/>
      <c r="M600" s="64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6"/>
      <c r="J601" s="63"/>
      <c r="K601" s="63"/>
      <c r="L601" s="63"/>
      <c r="M601" s="64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6"/>
      <c r="J602" s="63"/>
      <c r="K602" s="63"/>
      <c r="L602" s="63"/>
      <c r="M602" s="64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6"/>
      <c r="J603" s="63"/>
      <c r="K603" s="63"/>
      <c r="L603" s="63"/>
      <c r="M603" s="64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6"/>
      <c r="J604" s="63"/>
      <c r="K604" s="63"/>
      <c r="L604" s="63"/>
      <c r="M604" s="64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6"/>
      <c r="J605" s="63"/>
      <c r="K605" s="63"/>
      <c r="L605" s="63"/>
      <c r="M605" s="64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6"/>
      <c r="J606" s="63"/>
      <c r="K606" s="63"/>
      <c r="L606" s="63"/>
      <c r="M606" s="64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6"/>
      <c r="J607" s="63"/>
      <c r="K607" s="63"/>
      <c r="L607" s="63"/>
      <c r="M607" s="64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6"/>
      <c r="J608" s="63"/>
      <c r="K608" s="63"/>
      <c r="L608" s="63"/>
      <c r="M608" s="64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6"/>
      <c r="J609" s="63"/>
      <c r="K609" s="63"/>
      <c r="L609" s="63"/>
      <c r="M609" s="64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6"/>
      <c r="J610" s="63"/>
      <c r="K610" s="63"/>
      <c r="L610" s="63"/>
      <c r="M610" s="64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6"/>
      <c r="J611" s="63"/>
      <c r="K611" s="63"/>
      <c r="L611" s="63"/>
      <c r="M611" s="64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6"/>
      <c r="J612" s="63"/>
      <c r="K612" s="63"/>
      <c r="L612" s="63"/>
      <c r="M612" s="64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6"/>
      <c r="J613" s="63"/>
      <c r="K613" s="63"/>
      <c r="L613" s="63"/>
      <c r="M613" s="64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6"/>
      <c r="J614" s="63"/>
      <c r="K614" s="63"/>
      <c r="L614" s="63"/>
      <c r="M614" s="64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6"/>
      <c r="J615" s="63"/>
      <c r="K615" s="63"/>
      <c r="L615" s="63"/>
      <c r="M615" s="64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6"/>
      <c r="J616" s="63"/>
      <c r="K616" s="63"/>
      <c r="L616" s="63"/>
      <c r="M616" s="64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6"/>
      <c r="J617" s="63"/>
      <c r="K617" s="63"/>
      <c r="L617" s="63"/>
      <c r="M617" s="64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6"/>
      <c r="J618" s="63"/>
      <c r="K618" s="63"/>
      <c r="L618" s="63"/>
      <c r="M618" s="64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6"/>
      <c r="J619" s="63"/>
      <c r="K619" s="63"/>
      <c r="L619" s="63"/>
      <c r="M619" s="64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6"/>
      <c r="J620" s="63"/>
      <c r="K620" s="63"/>
      <c r="L620" s="63"/>
      <c r="M620" s="64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6"/>
      <c r="J621" s="63"/>
      <c r="K621" s="63"/>
      <c r="L621" s="63"/>
      <c r="M621" s="64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6"/>
      <c r="J622" s="63"/>
      <c r="K622" s="63"/>
      <c r="L622" s="63"/>
      <c r="M622" s="64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6"/>
      <c r="J623" s="63"/>
      <c r="K623" s="63"/>
      <c r="L623" s="63"/>
      <c r="M623" s="64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6"/>
      <c r="J624" s="63"/>
      <c r="K624" s="63"/>
      <c r="L624" s="63"/>
      <c r="M624" s="64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6"/>
      <c r="J625" s="63"/>
      <c r="K625" s="63"/>
      <c r="L625" s="63"/>
      <c r="M625" s="64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6"/>
      <c r="J626" s="63"/>
      <c r="K626" s="63"/>
      <c r="L626" s="63"/>
      <c r="M626" s="64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6"/>
      <c r="J627" s="63"/>
      <c r="K627" s="63"/>
      <c r="L627" s="63"/>
      <c r="M627" s="64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6"/>
      <c r="J628" s="63"/>
      <c r="K628" s="63"/>
      <c r="L628" s="63"/>
      <c r="M628" s="64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6"/>
      <c r="J629" s="63"/>
      <c r="K629" s="63"/>
      <c r="L629" s="63"/>
      <c r="M629" s="64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6"/>
      <c r="J630" s="63"/>
      <c r="K630" s="63"/>
      <c r="L630" s="63"/>
      <c r="M630" s="64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6"/>
      <c r="J631" s="63"/>
      <c r="K631" s="63"/>
      <c r="L631" s="63"/>
      <c r="M631" s="64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6"/>
      <c r="J632" s="63"/>
      <c r="K632" s="63"/>
      <c r="L632" s="63"/>
      <c r="M632" s="64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6"/>
      <c r="J633" s="63"/>
      <c r="K633" s="63"/>
      <c r="L633" s="63"/>
      <c r="M633" s="64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6"/>
      <c r="J634" s="63"/>
      <c r="K634" s="63"/>
      <c r="L634" s="63"/>
      <c r="M634" s="64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6"/>
      <c r="J635" s="63"/>
      <c r="K635" s="63"/>
      <c r="L635" s="63"/>
      <c r="M635" s="64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6"/>
      <c r="J636" s="63"/>
      <c r="K636" s="63"/>
      <c r="L636" s="63"/>
      <c r="M636" s="64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6"/>
      <c r="J637" s="63"/>
      <c r="K637" s="63"/>
      <c r="L637" s="63"/>
      <c r="M637" s="64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6"/>
      <c r="J638" s="63"/>
      <c r="K638" s="63"/>
      <c r="L638" s="63"/>
      <c r="M638" s="64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6"/>
      <c r="J639" s="63"/>
      <c r="K639" s="63"/>
      <c r="L639" s="63"/>
      <c r="M639" s="64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6"/>
      <c r="J640" s="63"/>
      <c r="K640" s="63"/>
      <c r="L640" s="63"/>
      <c r="M640" s="64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6"/>
      <c r="J641" s="63"/>
      <c r="K641" s="63"/>
      <c r="L641" s="63"/>
      <c r="M641" s="64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6"/>
      <c r="J642" s="63"/>
      <c r="K642" s="63"/>
      <c r="L642" s="63"/>
      <c r="M642" s="64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6"/>
      <c r="J643" s="63"/>
      <c r="K643" s="63"/>
      <c r="L643" s="63"/>
      <c r="M643" s="64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6"/>
      <c r="J644" s="63"/>
      <c r="K644" s="63"/>
      <c r="L644" s="63"/>
      <c r="M644" s="64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6"/>
      <c r="J645" s="63"/>
      <c r="K645" s="63"/>
      <c r="L645" s="63"/>
      <c r="M645" s="64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6"/>
      <c r="J646" s="63"/>
      <c r="K646" s="63"/>
      <c r="L646" s="63"/>
      <c r="M646" s="64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6"/>
      <c r="J647" s="63"/>
      <c r="K647" s="63"/>
      <c r="L647" s="63"/>
      <c r="M647" s="64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6"/>
      <c r="J648" s="63"/>
      <c r="K648" s="63"/>
      <c r="L648" s="63"/>
      <c r="M648" s="64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6"/>
      <c r="J649" s="63"/>
      <c r="K649" s="63"/>
      <c r="L649" s="63"/>
      <c r="M649" s="64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6"/>
      <c r="J650" s="63"/>
      <c r="K650" s="63"/>
      <c r="L650" s="63"/>
      <c r="M650" s="64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6"/>
      <c r="J651" s="63"/>
      <c r="K651" s="63"/>
      <c r="L651" s="63"/>
      <c r="M651" s="64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6"/>
      <c r="J652" s="63"/>
      <c r="K652" s="63"/>
      <c r="L652" s="63"/>
      <c r="M652" s="64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6"/>
      <c r="J653" s="63"/>
      <c r="K653" s="63"/>
      <c r="L653" s="63"/>
      <c r="M653" s="64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6"/>
      <c r="J654" s="63"/>
      <c r="K654" s="63"/>
      <c r="L654" s="63"/>
      <c r="M654" s="64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6"/>
      <c r="J655" s="63"/>
      <c r="K655" s="63"/>
      <c r="L655" s="63"/>
      <c r="M655" s="64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6"/>
      <c r="J656" s="63"/>
      <c r="K656" s="63"/>
      <c r="L656" s="63"/>
      <c r="M656" s="64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6"/>
      <c r="J657" s="63"/>
      <c r="K657" s="63"/>
      <c r="L657" s="63"/>
      <c r="M657" s="64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6"/>
      <c r="J658" s="63"/>
      <c r="K658" s="63"/>
      <c r="L658" s="63"/>
      <c r="M658" s="64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6"/>
      <c r="J659" s="63"/>
      <c r="K659" s="63"/>
      <c r="L659" s="63"/>
      <c r="M659" s="64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6"/>
      <c r="J660" s="63"/>
      <c r="K660" s="63"/>
      <c r="L660" s="63"/>
      <c r="M660" s="64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6"/>
      <c r="J661" s="63"/>
      <c r="K661" s="63"/>
      <c r="L661" s="63"/>
      <c r="M661" s="64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6"/>
      <c r="J662" s="63"/>
      <c r="K662" s="63"/>
      <c r="L662" s="63"/>
      <c r="M662" s="64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6"/>
      <c r="J663" s="63"/>
      <c r="K663" s="63"/>
      <c r="L663" s="63"/>
      <c r="M663" s="64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6"/>
      <c r="J664" s="63"/>
      <c r="K664" s="63"/>
      <c r="L664" s="63"/>
      <c r="M664" s="64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6"/>
      <c r="J665" s="63"/>
      <c r="K665" s="63"/>
      <c r="L665" s="63"/>
      <c r="M665" s="64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6"/>
      <c r="J666" s="63"/>
      <c r="K666" s="63"/>
      <c r="L666" s="63"/>
      <c r="M666" s="64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6"/>
      <c r="J667" s="63"/>
      <c r="K667" s="63"/>
      <c r="L667" s="63"/>
      <c r="M667" s="64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6"/>
      <c r="J668" s="63"/>
      <c r="K668" s="63"/>
      <c r="L668" s="63"/>
      <c r="M668" s="64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6"/>
      <c r="J669" s="63"/>
      <c r="K669" s="63"/>
      <c r="L669" s="63"/>
      <c r="M669" s="64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6"/>
      <c r="J670" s="63"/>
      <c r="K670" s="63"/>
      <c r="L670" s="63"/>
      <c r="M670" s="64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6"/>
      <c r="J671" s="63"/>
      <c r="K671" s="63"/>
      <c r="L671" s="63"/>
      <c r="M671" s="64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6"/>
      <c r="J672" s="63"/>
      <c r="K672" s="63"/>
      <c r="L672" s="63"/>
      <c r="M672" s="64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6"/>
      <c r="J673" s="63"/>
      <c r="K673" s="63"/>
      <c r="L673" s="63"/>
      <c r="M673" s="64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6"/>
      <c r="J674" s="63"/>
      <c r="K674" s="63"/>
      <c r="L674" s="63"/>
      <c r="M674" s="64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6"/>
      <c r="J675" s="63"/>
      <c r="K675" s="63"/>
      <c r="L675" s="63"/>
      <c r="M675" s="64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6"/>
      <c r="J676" s="63"/>
      <c r="K676" s="63"/>
      <c r="L676" s="63"/>
      <c r="M676" s="64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6"/>
      <c r="J677" s="63"/>
      <c r="K677" s="63"/>
      <c r="L677" s="63"/>
      <c r="M677" s="64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6"/>
      <c r="J678" s="63"/>
      <c r="K678" s="63"/>
      <c r="L678" s="63"/>
      <c r="M678" s="64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6"/>
      <c r="J679" s="63"/>
      <c r="K679" s="63"/>
      <c r="L679" s="63"/>
      <c r="M679" s="64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6"/>
      <c r="J680" s="63"/>
      <c r="K680" s="63"/>
      <c r="L680" s="63"/>
      <c r="M680" s="64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6"/>
      <c r="J681" s="63"/>
      <c r="K681" s="63"/>
      <c r="L681" s="63"/>
      <c r="M681" s="64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6"/>
      <c r="J682" s="63"/>
      <c r="K682" s="63"/>
      <c r="L682" s="63"/>
      <c r="M682" s="64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6"/>
      <c r="J683" s="63"/>
      <c r="K683" s="63"/>
      <c r="L683" s="63"/>
      <c r="M683" s="64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6"/>
      <c r="J684" s="63"/>
      <c r="K684" s="63"/>
      <c r="L684" s="63"/>
      <c r="M684" s="64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6"/>
      <c r="J685" s="63"/>
      <c r="K685" s="63"/>
      <c r="L685" s="63"/>
      <c r="M685" s="64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6"/>
      <c r="J686" s="63"/>
      <c r="K686" s="63"/>
      <c r="L686" s="63"/>
      <c r="M686" s="64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6"/>
      <c r="J687" s="63"/>
      <c r="K687" s="63"/>
      <c r="L687" s="63"/>
      <c r="M687" s="64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6"/>
      <c r="J688" s="63"/>
      <c r="K688" s="63"/>
      <c r="L688" s="63"/>
      <c r="M688" s="64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6"/>
      <c r="J689" s="63"/>
      <c r="K689" s="63"/>
      <c r="L689" s="63"/>
      <c r="M689" s="64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6"/>
      <c r="J690" s="63"/>
      <c r="K690" s="63"/>
      <c r="L690" s="63"/>
      <c r="M690" s="64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6"/>
      <c r="J691" s="63"/>
      <c r="K691" s="63"/>
      <c r="L691" s="63"/>
      <c r="M691" s="64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6"/>
      <c r="J692" s="63"/>
      <c r="K692" s="63"/>
      <c r="L692" s="63"/>
      <c r="M692" s="64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6"/>
      <c r="J693" s="63"/>
      <c r="K693" s="63"/>
      <c r="L693" s="63"/>
      <c r="M693" s="64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6"/>
      <c r="J694" s="63"/>
      <c r="K694" s="63"/>
      <c r="L694" s="63"/>
      <c r="M694" s="64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6"/>
      <c r="J695" s="63"/>
      <c r="K695" s="63"/>
      <c r="L695" s="63"/>
      <c r="M695" s="64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6"/>
      <c r="J696" s="63"/>
      <c r="K696" s="63"/>
      <c r="L696" s="63"/>
      <c r="M696" s="64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6"/>
      <c r="J697" s="63"/>
      <c r="K697" s="63"/>
      <c r="L697" s="63"/>
      <c r="M697" s="64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6"/>
      <c r="J698" s="63"/>
      <c r="K698" s="63"/>
      <c r="L698" s="63"/>
      <c r="M698" s="64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6"/>
      <c r="J699" s="63"/>
      <c r="K699" s="63"/>
      <c r="L699" s="63"/>
      <c r="M699" s="64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6"/>
      <c r="J700" s="63"/>
      <c r="K700" s="63"/>
      <c r="L700" s="63"/>
      <c r="M700" s="64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6"/>
      <c r="J701" s="63"/>
      <c r="K701" s="63"/>
      <c r="L701" s="63"/>
      <c r="M701" s="64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6"/>
      <c r="J702" s="63"/>
      <c r="K702" s="63"/>
      <c r="L702" s="63"/>
      <c r="M702" s="64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6"/>
      <c r="J703" s="63"/>
      <c r="K703" s="63"/>
      <c r="L703" s="63"/>
      <c r="M703" s="64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6"/>
      <c r="J704" s="63"/>
      <c r="K704" s="63"/>
      <c r="L704" s="63"/>
      <c r="M704" s="64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6"/>
      <c r="J705" s="63"/>
      <c r="K705" s="63"/>
      <c r="L705" s="63"/>
      <c r="M705" s="64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6"/>
      <c r="J706" s="63"/>
      <c r="K706" s="63"/>
      <c r="L706" s="63"/>
      <c r="M706" s="64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6"/>
      <c r="J707" s="63"/>
      <c r="K707" s="63"/>
      <c r="L707" s="63"/>
      <c r="M707" s="64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6"/>
      <c r="J708" s="63"/>
      <c r="K708" s="63"/>
      <c r="L708" s="63"/>
      <c r="M708" s="64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6"/>
      <c r="J709" s="63"/>
      <c r="K709" s="63"/>
      <c r="L709" s="63"/>
      <c r="M709" s="64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6"/>
      <c r="J710" s="63"/>
      <c r="K710" s="63"/>
      <c r="L710" s="63"/>
      <c r="M710" s="64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6"/>
      <c r="J711" s="63"/>
      <c r="K711" s="63"/>
      <c r="L711" s="63"/>
      <c r="M711" s="64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6"/>
      <c r="J712" s="63"/>
      <c r="K712" s="63"/>
      <c r="L712" s="63"/>
      <c r="M712" s="64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6"/>
      <c r="J713" s="63"/>
      <c r="K713" s="63"/>
      <c r="L713" s="63"/>
      <c r="M713" s="64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6"/>
      <c r="J714" s="63"/>
      <c r="K714" s="63"/>
      <c r="L714" s="63"/>
      <c r="M714" s="64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6"/>
      <c r="J715" s="63"/>
      <c r="K715" s="63"/>
      <c r="L715" s="63"/>
      <c r="M715" s="64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6"/>
      <c r="J716" s="63"/>
      <c r="K716" s="63"/>
      <c r="L716" s="63"/>
      <c r="M716" s="64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6"/>
      <c r="J717" s="63"/>
      <c r="K717" s="63"/>
      <c r="L717" s="63"/>
      <c r="M717" s="64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6"/>
      <c r="J718" s="63"/>
      <c r="K718" s="63"/>
      <c r="L718" s="63"/>
      <c r="M718" s="64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6"/>
      <c r="J719" s="63"/>
      <c r="K719" s="63"/>
      <c r="L719" s="63"/>
      <c r="M719" s="64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6"/>
      <c r="J720" s="63"/>
      <c r="K720" s="63"/>
      <c r="L720" s="63"/>
      <c r="M720" s="64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6"/>
      <c r="J721" s="63"/>
      <c r="K721" s="63"/>
      <c r="L721" s="63"/>
      <c r="M721" s="64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6"/>
      <c r="J722" s="63"/>
      <c r="K722" s="63"/>
      <c r="L722" s="63"/>
      <c r="M722" s="64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6"/>
      <c r="J723" s="63"/>
      <c r="K723" s="63"/>
      <c r="L723" s="63"/>
      <c r="M723" s="64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6"/>
      <c r="J724" s="63"/>
      <c r="K724" s="63"/>
      <c r="L724" s="63"/>
      <c r="M724" s="64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6"/>
      <c r="J725" s="63"/>
      <c r="K725" s="63"/>
      <c r="L725" s="63"/>
      <c r="M725" s="64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6"/>
      <c r="J726" s="63"/>
      <c r="K726" s="63"/>
      <c r="L726" s="63"/>
      <c r="M726" s="64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6"/>
      <c r="J727" s="63"/>
      <c r="K727" s="63"/>
      <c r="L727" s="63"/>
      <c r="M727" s="64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6"/>
      <c r="J728" s="63"/>
      <c r="K728" s="63"/>
      <c r="L728" s="63"/>
      <c r="M728" s="64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6"/>
      <c r="J729" s="63"/>
      <c r="K729" s="63"/>
      <c r="L729" s="63"/>
      <c r="M729" s="64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6"/>
      <c r="J730" s="63"/>
      <c r="K730" s="63"/>
      <c r="L730" s="63"/>
      <c r="M730" s="64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6"/>
      <c r="J731" s="63"/>
      <c r="K731" s="63"/>
      <c r="L731" s="63"/>
      <c r="M731" s="64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6"/>
      <c r="J732" s="63"/>
      <c r="K732" s="63"/>
      <c r="L732" s="63"/>
      <c r="M732" s="64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6"/>
      <c r="J733" s="63"/>
      <c r="K733" s="63"/>
      <c r="L733" s="63"/>
      <c r="M733" s="64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6"/>
      <c r="J734" s="63"/>
      <c r="K734" s="63"/>
      <c r="L734" s="63"/>
      <c r="M734" s="64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6"/>
      <c r="J735" s="63"/>
      <c r="K735" s="63"/>
      <c r="L735" s="63"/>
      <c r="M735" s="64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6"/>
      <c r="J736" s="63"/>
      <c r="K736" s="63"/>
      <c r="L736" s="63"/>
      <c r="M736" s="64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6"/>
      <c r="J737" s="63"/>
      <c r="K737" s="63"/>
      <c r="L737" s="63"/>
      <c r="M737" s="64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6"/>
      <c r="J738" s="63"/>
      <c r="K738" s="63"/>
      <c r="L738" s="63"/>
      <c r="M738" s="64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6"/>
      <c r="J739" s="63"/>
      <c r="K739" s="63"/>
      <c r="L739" s="63"/>
      <c r="M739" s="64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6"/>
      <c r="J740" s="63"/>
      <c r="K740" s="63"/>
      <c r="L740" s="63"/>
      <c r="M740" s="64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6"/>
      <c r="J741" s="63"/>
      <c r="K741" s="63"/>
      <c r="L741" s="63"/>
      <c r="M741" s="64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6"/>
      <c r="J742" s="63"/>
      <c r="K742" s="63"/>
      <c r="L742" s="63"/>
      <c r="M742" s="64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6"/>
      <c r="J743" s="63"/>
      <c r="K743" s="63"/>
      <c r="L743" s="63"/>
      <c r="M743" s="64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6"/>
      <c r="J744" s="63"/>
      <c r="K744" s="63"/>
      <c r="L744" s="63"/>
      <c r="M744" s="64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6"/>
      <c r="J745" s="63"/>
      <c r="K745" s="63"/>
      <c r="L745" s="63"/>
      <c r="M745" s="64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6"/>
      <c r="J746" s="63"/>
      <c r="K746" s="63"/>
      <c r="L746" s="63"/>
      <c r="M746" s="64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6"/>
      <c r="J747" s="63"/>
      <c r="K747" s="63"/>
      <c r="L747" s="63"/>
      <c r="M747" s="64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6"/>
      <c r="J748" s="63"/>
      <c r="K748" s="63"/>
      <c r="L748" s="63"/>
      <c r="M748" s="64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6"/>
      <c r="J749" s="63"/>
      <c r="K749" s="63"/>
      <c r="L749" s="63"/>
      <c r="M749" s="64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6"/>
      <c r="J750" s="63"/>
      <c r="K750" s="63"/>
      <c r="L750" s="63"/>
      <c r="M750" s="64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6"/>
      <c r="J751" s="63"/>
      <c r="K751" s="63"/>
      <c r="L751" s="63"/>
      <c r="M751" s="64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6"/>
      <c r="J752" s="63"/>
      <c r="K752" s="63"/>
      <c r="L752" s="63"/>
      <c r="M752" s="64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6"/>
      <c r="J753" s="63"/>
      <c r="K753" s="63"/>
      <c r="L753" s="63"/>
      <c r="M753" s="64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6"/>
      <c r="J754" s="63"/>
      <c r="K754" s="63"/>
      <c r="L754" s="63"/>
      <c r="M754" s="64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6"/>
      <c r="J755" s="63"/>
      <c r="K755" s="63"/>
      <c r="L755" s="63"/>
      <c r="M755" s="64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6"/>
      <c r="J756" s="63"/>
      <c r="K756" s="63"/>
      <c r="L756" s="63"/>
      <c r="M756" s="64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6"/>
      <c r="J757" s="63"/>
      <c r="K757" s="63"/>
      <c r="L757" s="63"/>
      <c r="M757" s="64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6"/>
      <c r="J758" s="63"/>
      <c r="K758" s="63"/>
      <c r="L758" s="63"/>
      <c r="M758" s="64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6"/>
      <c r="J759" s="63"/>
      <c r="K759" s="63"/>
      <c r="L759" s="63"/>
      <c r="M759" s="64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6"/>
      <c r="J760" s="63"/>
      <c r="K760" s="63"/>
      <c r="L760" s="63"/>
      <c r="M760" s="64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6"/>
      <c r="J761" s="63"/>
      <c r="K761" s="63"/>
      <c r="L761" s="63"/>
      <c r="M761" s="64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6"/>
      <c r="J762" s="63"/>
      <c r="K762" s="63"/>
      <c r="L762" s="63"/>
      <c r="M762" s="64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6"/>
      <c r="J763" s="63"/>
      <c r="K763" s="63"/>
      <c r="L763" s="63"/>
      <c r="M763" s="64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6"/>
      <c r="J764" s="63"/>
      <c r="K764" s="63"/>
      <c r="L764" s="63"/>
      <c r="M764" s="64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6"/>
      <c r="J765" s="63"/>
      <c r="K765" s="63"/>
      <c r="L765" s="63"/>
      <c r="M765" s="64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6"/>
      <c r="J766" s="63"/>
      <c r="K766" s="63"/>
      <c r="L766" s="63"/>
      <c r="M766" s="64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6"/>
      <c r="J767" s="63"/>
      <c r="K767" s="63"/>
      <c r="L767" s="63"/>
      <c r="M767" s="64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6"/>
      <c r="J768" s="63"/>
      <c r="K768" s="63"/>
      <c r="L768" s="63"/>
      <c r="M768" s="64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6"/>
      <c r="J769" s="63"/>
      <c r="K769" s="63"/>
      <c r="L769" s="63"/>
      <c r="M769" s="64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6"/>
      <c r="J770" s="63"/>
      <c r="K770" s="63"/>
      <c r="L770" s="63"/>
      <c r="M770" s="64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6"/>
      <c r="J771" s="63"/>
      <c r="K771" s="63"/>
      <c r="L771" s="63"/>
      <c r="M771" s="64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6"/>
      <c r="J772" s="63"/>
      <c r="K772" s="63"/>
      <c r="L772" s="63"/>
      <c r="M772" s="64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6"/>
      <c r="J773" s="63"/>
      <c r="K773" s="63"/>
      <c r="L773" s="63"/>
      <c r="M773" s="64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6"/>
      <c r="J774" s="63"/>
      <c r="K774" s="63"/>
      <c r="L774" s="63"/>
      <c r="M774" s="64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6"/>
      <c r="J775" s="63"/>
      <c r="K775" s="63"/>
      <c r="L775" s="63"/>
      <c r="M775" s="64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6"/>
      <c r="J776" s="63"/>
      <c r="K776" s="63"/>
      <c r="L776" s="63"/>
      <c r="M776" s="64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6"/>
      <c r="J777" s="63"/>
      <c r="K777" s="63"/>
      <c r="L777" s="63"/>
      <c r="M777" s="64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6"/>
      <c r="J778" s="63"/>
      <c r="K778" s="63"/>
      <c r="L778" s="63"/>
      <c r="M778" s="64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6"/>
      <c r="J779" s="63"/>
      <c r="K779" s="63"/>
      <c r="L779" s="63"/>
      <c r="M779" s="64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6"/>
      <c r="J780" s="63"/>
      <c r="K780" s="63"/>
      <c r="L780" s="63"/>
      <c r="M780" s="64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6"/>
      <c r="J781" s="63"/>
      <c r="K781" s="63"/>
      <c r="L781" s="63"/>
      <c r="M781" s="64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6"/>
      <c r="J782" s="63"/>
      <c r="K782" s="63"/>
      <c r="L782" s="63"/>
      <c r="M782" s="64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6"/>
      <c r="J783" s="63"/>
      <c r="K783" s="63"/>
      <c r="L783" s="63"/>
      <c r="M783" s="64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6"/>
      <c r="J784" s="63"/>
      <c r="K784" s="63"/>
      <c r="L784" s="63"/>
      <c r="M784" s="64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6"/>
      <c r="J785" s="63"/>
      <c r="K785" s="63"/>
      <c r="L785" s="63"/>
      <c r="M785" s="64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6"/>
      <c r="J786" s="63"/>
      <c r="K786" s="63"/>
      <c r="L786" s="63"/>
      <c r="M786" s="64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6"/>
      <c r="J787" s="63"/>
      <c r="K787" s="63"/>
      <c r="L787" s="63"/>
      <c r="M787" s="64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6"/>
      <c r="J788" s="63"/>
      <c r="K788" s="63"/>
      <c r="L788" s="63"/>
      <c r="M788" s="64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6"/>
      <c r="J789" s="63"/>
      <c r="K789" s="63"/>
      <c r="L789" s="63"/>
      <c r="M789" s="64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6"/>
      <c r="J790" s="63"/>
      <c r="K790" s="63"/>
      <c r="L790" s="63"/>
      <c r="M790" s="64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6"/>
      <c r="J791" s="63"/>
      <c r="K791" s="63"/>
      <c r="L791" s="63"/>
      <c r="M791" s="64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6"/>
      <c r="J792" s="63"/>
      <c r="K792" s="63"/>
      <c r="L792" s="63"/>
      <c r="M792" s="64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6"/>
      <c r="J793" s="63"/>
      <c r="K793" s="63"/>
      <c r="L793" s="63"/>
      <c r="M793" s="64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6"/>
      <c r="J794" s="63"/>
      <c r="K794" s="63"/>
      <c r="L794" s="63"/>
      <c r="M794" s="64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6"/>
      <c r="J795" s="63"/>
      <c r="K795" s="63"/>
      <c r="L795" s="63"/>
      <c r="M795" s="64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6"/>
      <c r="J796" s="63"/>
      <c r="K796" s="63"/>
      <c r="L796" s="63"/>
      <c r="M796" s="64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6"/>
      <c r="J797" s="63"/>
      <c r="K797" s="63"/>
      <c r="L797" s="63"/>
      <c r="M797" s="64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6"/>
      <c r="J798" s="63"/>
      <c r="K798" s="63"/>
      <c r="L798" s="63"/>
      <c r="M798" s="64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6"/>
      <c r="J799" s="63"/>
      <c r="K799" s="63"/>
      <c r="L799" s="63"/>
      <c r="M799" s="64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6"/>
      <c r="J800" s="63"/>
      <c r="K800" s="63"/>
      <c r="L800" s="63"/>
      <c r="M800" s="64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6"/>
      <c r="J801" s="63"/>
      <c r="K801" s="63"/>
      <c r="L801" s="63"/>
      <c r="M801" s="64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6"/>
      <c r="J802" s="63"/>
      <c r="K802" s="63"/>
      <c r="L802" s="63"/>
      <c r="M802" s="64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6"/>
      <c r="J803" s="63"/>
      <c r="K803" s="63"/>
      <c r="L803" s="63"/>
      <c r="M803" s="64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6"/>
      <c r="J804" s="63"/>
      <c r="K804" s="63"/>
      <c r="L804" s="63"/>
      <c r="M804" s="64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6"/>
      <c r="J805" s="63"/>
      <c r="K805" s="63"/>
      <c r="L805" s="63"/>
      <c r="M805" s="64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6"/>
      <c r="J806" s="63"/>
      <c r="K806" s="63"/>
      <c r="L806" s="63"/>
      <c r="M806" s="64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6"/>
      <c r="J807" s="63"/>
      <c r="K807" s="63"/>
      <c r="L807" s="63"/>
      <c r="M807" s="64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6"/>
      <c r="J808" s="63"/>
      <c r="K808" s="63"/>
      <c r="L808" s="63"/>
      <c r="M808" s="64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6"/>
      <c r="J809" s="63"/>
      <c r="K809" s="63"/>
      <c r="L809" s="63"/>
      <c r="M809" s="64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6"/>
      <c r="J810" s="63"/>
      <c r="K810" s="63"/>
      <c r="L810" s="63"/>
      <c r="M810" s="64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6"/>
      <c r="J811" s="63"/>
      <c r="K811" s="63"/>
      <c r="L811" s="63"/>
      <c r="M811" s="64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6"/>
      <c r="J812" s="63"/>
      <c r="K812" s="63"/>
      <c r="L812" s="63"/>
      <c r="M812" s="64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6"/>
      <c r="J813" s="63"/>
      <c r="K813" s="63"/>
      <c r="L813" s="63"/>
      <c r="M813" s="64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6"/>
      <c r="J814" s="63"/>
      <c r="K814" s="63"/>
      <c r="L814" s="63"/>
      <c r="M814" s="64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6"/>
      <c r="J815" s="63"/>
      <c r="K815" s="63"/>
      <c r="L815" s="63"/>
      <c r="M815" s="64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6"/>
      <c r="J816" s="63"/>
      <c r="K816" s="63"/>
      <c r="L816" s="63"/>
      <c r="M816" s="64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6"/>
      <c r="J817" s="63"/>
      <c r="K817" s="63"/>
      <c r="L817" s="63"/>
      <c r="M817" s="64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6"/>
      <c r="J818" s="63"/>
      <c r="K818" s="63"/>
      <c r="L818" s="63"/>
      <c r="M818" s="64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6"/>
      <c r="J819" s="63"/>
      <c r="K819" s="63"/>
      <c r="L819" s="63"/>
      <c r="M819" s="64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6"/>
      <c r="J820" s="63"/>
      <c r="K820" s="63"/>
      <c r="L820" s="63"/>
      <c r="M820" s="64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6"/>
      <c r="J821" s="63"/>
      <c r="K821" s="63"/>
      <c r="L821" s="63"/>
      <c r="M821" s="64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6"/>
      <c r="J822" s="63"/>
      <c r="K822" s="63"/>
      <c r="L822" s="63"/>
      <c r="M822" s="64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6"/>
      <c r="J823" s="63"/>
      <c r="K823" s="63"/>
      <c r="L823" s="63"/>
      <c r="M823" s="64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6"/>
      <c r="J824" s="63"/>
      <c r="K824" s="63"/>
      <c r="L824" s="63"/>
      <c r="M824" s="64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6"/>
      <c r="J825" s="63"/>
      <c r="K825" s="63"/>
      <c r="L825" s="63"/>
      <c r="M825" s="64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6"/>
      <c r="J826" s="63"/>
      <c r="K826" s="63"/>
      <c r="L826" s="63"/>
      <c r="M826" s="64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6"/>
      <c r="J827" s="63"/>
      <c r="K827" s="63"/>
      <c r="L827" s="63"/>
      <c r="M827" s="64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6"/>
      <c r="J828" s="63"/>
      <c r="K828" s="63"/>
      <c r="L828" s="63"/>
      <c r="M828" s="64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6"/>
      <c r="J829" s="63"/>
      <c r="K829" s="63"/>
      <c r="L829" s="63"/>
      <c r="M829" s="64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6"/>
      <c r="J830" s="63"/>
      <c r="K830" s="63"/>
      <c r="L830" s="63"/>
      <c r="M830" s="64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6"/>
      <c r="J831" s="63"/>
      <c r="K831" s="63"/>
      <c r="L831" s="63"/>
      <c r="M831" s="64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6"/>
      <c r="J832" s="63"/>
      <c r="K832" s="63"/>
      <c r="L832" s="63"/>
      <c r="M832" s="64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6"/>
      <c r="J833" s="63"/>
      <c r="K833" s="63"/>
      <c r="L833" s="63"/>
      <c r="M833" s="64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6"/>
      <c r="J834" s="63"/>
      <c r="K834" s="63"/>
      <c r="L834" s="63"/>
      <c r="M834" s="64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6"/>
      <c r="J835" s="63"/>
      <c r="K835" s="63"/>
      <c r="L835" s="63"/>
      <c r="M835" s="64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6"/>
      <c r="J836" s="63"/>
      <c r="K836" s="63"/>
      <c r="L836" s="63"/>
      <c r="M836" s="64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6"/>
      <c r="J837" s="63"/>
      <c r="K837" s="63"/>
      <c r="L837" s="63"/>
      <c r="M837" s="64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6"/>
      <c r="J838" s="63"/>
      <c r="K838" s="63"/>
      <c r="L838" s="63"/>
      <c r="M838" s="64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6"/>
      <c r="J839" s="63"/>
      <c r="K839" s="63"/>
      <c r="L839" s="63"/>
      <c r="M839" s="64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6"/>
      <c r="J840" s="63"/>
      <c r="K840" s="63"/>
      <c r="L840" s="63"/>
      <c r="M840" s="64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6"/>
      <c r="J841" s="63"/>
      <c r="K841" s="63"/>
      <c r="L841" s="63"/>
      <c r="M841" s="64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6"/>
      <c r="J842" s="63"/>
      <c r="K842" s="63"/>
      <c r="L842" s="63"/>
      <c r="M842" s="64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6"/>
      <c r="J843" s="63"/>
      <c r="K843" s="63"/>
      <c r="L843" s="63"/>
      <c r="M843" s="64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6"/>
      <c r="J844" s="63"/>
      <c r="K844" s="63"/>
      <c r="L844" s="63"/>
      <c r="M844" s="64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6"/>
      <c r="J845" s="63"/>
      <c r="K845" s="63"/>
      <c r="L845" s="63"/>
      <c r="M845" s="64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6"/>
      <c r="J846" s="63"/>
      <c r="K846" s="63"/>
      <c r="L846" s="63"/>
      <c r="M846" s="64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6"/>
      <c r="J847" s="63"/>
      <c r="K847" s="63"/>
      <c r="L847" s="63"/>
      <c r="M847" s="64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6"/>
      <c r="J848" s="63"/>
      <c r="K848" s="63"/>
      <c r="L848" s="63"/>
      <c r="M848" s="64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6"/>
      <c r="J849" s="63"/>
      <c r="K849" s="63"/>
      <c r="L849" s="63"/>
      <c r="M849" s="64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6"/>
      <c r="J850" s="63"/>
      <c r="K850" s="63"/>
      <c r="L850" s="63"/>
      <c r="M850" s="64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6"/>
      <c r="J851" s="63"/>
      <c r="K851" s="63"/>
      <c r="L851" s="63"/>
      <c r="M851" s="64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6"/>
      <c r="J852" s="63"/>
      <c r="K852" s="63"/>
      <c r="L852" s="63"/>
      <c r="M852" s="64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6"/>
      <c r="J853" s="63"/>
      <c r="K853" s="63"/>
      <c r="L853" s="63"/>
      <c r="M853" s="64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6"/>
      <c r="J854" s="63"/>
      <c r="K854" s="63"/>
      <c r="L854" s="63"/>
      <c r="M854" s="64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6"/>
      <c r="J855" s="63"/>
      <c r="K855" s="63"/>
      <c r="L855" s="63"/>
      <c r="M855" s="64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6"/>
      <c r="J856" s="63"/>
      <c r="K856" s="63"/>
      <c r="L856" s="63"/>
      <c r="M856" s="64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6"/>
      <c r="J857" s="63"/>
      <c r="K857" s="63"/>
      <c r="L857" s="63"/>
      <c r="M857" s="64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6"/>
      <c r="J858" s="63"/>
      <c r="K858" s="63"/>
      <c r="L858" s="63"/>
      <c r="M858" s="64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6"/>
      <c r="J859" s="63"/>
      <c r="K859" s="63"/>
      <c r="L859" s="63"/>
      <c r="M859" s="64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6"/>
      <c r="J860" s="63"/>
      <c r="K860" s="63"/>
      <c r="L860" s="63"/>
      <c r="M860" s="64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6"/>
      <c r="J861" s="63"/>
      <c r="K861" s="63"/>
      <c r="L861" s="63"/>
      <c r="M861" s="64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6"/>
      <c r="J862" s="63"/>
      <c r="K862" s="63"/>
      <c r="L862" s="63"/>
      <c r="M862" s="64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6"/>
      <c r="J863" s="63"/>
      <c r="K863" s="63"/>
      <c r="L863" s="63"/>
      <c r="M863" s="64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6"/>
      <c r="J864" s="63"/>
      <c r="K864" s="63"/>
      <c r="L864" s="63"/>
      <c r="M864" s="64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6"/>
      <c r="J865" s="63"/>
      <c r="K865" s="63"/>
      <c r="L865" s="63"/>
      <c r="M865" s="64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6"/>
      <c r="J866" s="63"/>
      <c r="K866" s="63"/>
      <c r="L866" s="63"/>
      <c r="M866" s="64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6"/>
      <c r="J867" s="63"/>
      <c r="K867" s="63"/>
      <c r="L867" s="63"/>
      <c r="M867" s="64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6"/>
      <c r="J868" s="63"/>
      <c r="K868" s="63"/>
      <c r="L868" s="63"/>
      <c r="M868" s="64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6"/>
      <c r="J869" s="63"/>
      <c r="K869" s="63"/>
      <c r="L869" s="63"/>
      <c r="M869" s="64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6"/>
      <c r="J870" s="63"/>
      <c r="K870" s="63"/>
      <c r="L870" s="63"/>
      <c r="M870" s="64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6"/>
      <c r="J871" s="63"/>
      <c r="K871" s="63"/>
      <c r="L871" s="63"/>
      <c r="M871" s="64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6"/>
      <c r="J872" s="63"/>
      <c r="K872" s="63"/>
      <c r="L872" s="63"/>
      <c r="M872" s="64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6"/>
      <c r="J873" s="63"/>
      <c r="K873" s="63"/>
      <c r="L873" s="63"/>
      <c r="M873" s="64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6"/>
      <c r="J874" s="63"/>
      <c r="K874" s="63"/>
      <c r="L874" s="63"/>
      <c r="M874" s="64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6"/>
      <c r="J875" s="63"/>
      <c r="K875" s="63"/>
      <c r="L875" s="63"/>
      <c r="M875" s="64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6"/>
      <c r="J876" s="63"/>
      <c r="K876" s="63"/>
      <c r="L876" s="63"/>
      <c r="M876" s="64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6"/>
      <c r="J877" s="63"/>
      <c r="K877" s="63"/>
      <c r="L877" s="63"/>
      <c r="M877" s="64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6"/>
      <c r="J878" s="63"/>
      <c r="K878" s="63"/>
      <c r="L878" s="63"/>
      <c r="M878" s="64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6"/>
      <c r="J879" s="63"/>
      <c r="K879" s="63"/>
      <c r="L879" s="63"/>
      <c r="M879" s="64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6"/>
      <c r="J880" s="63"/>
      <c r="K880" s="63"/>
      <c r="L880" s="63"/>
      <c r="M880" s="64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6"/>
      <c r="J881" s="63"/>
      <c r="K881" s="63"/>
      <c r="L881" s="63"/>
      <c r="M881" s="64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6"/>
      <c r="J882" s="63"/>
      <c r="K882" s="63"/>
      <c r="L882" s="63"/>
      <c r="M882" s="64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6"/>
      <c r="J883" s="63"/>
      <c r="K883" s="63"/>
      <c r="L883" s="63"/>
      <c r="M883" s="64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6"/>
      <c r="J884" s="63"/>
      <c r="K884" s="63"/>
      <c r="L884" s="63"/>
      <c r="M884" s="64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6"/>
      <c r="J885" s="63"/>
      <c r="K885" s="63"/>
      <c r="L885" s="63"/>
      <c r="M885" s="64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6"/>
      <c r="J886" s="63"/>
      <c r="K886" s="63"/>
      <c r="L886" s="63"/>
      <c r="M886" s="64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6"/>
      <c r="J887" s="63"/>
      <c r="K887" s="63"/>
      <c r="L887" s="63"/>
      <c r="M887" s="64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6"/>
      <c r="J888" s="63"/>
      <c r="K888" s="63"/>
      <c r="L888" s="63"/>
      <c r="M888" s="64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6"/>
      <c r="J889" s="63"/>
      <c r="K889" s="63"/>
      <c r="L889" s="63"/>
      <c r="M889" s="64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6"/>
      <c r="J890" s="63"/>
      <c r="K890" s="63"/>
      <c r="L890" s="63"/>
      <c r="M890" s="64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6"/>
      <c r="J891" s="63"/>
      <c r="K891" s="63"/>
      <c r="L891" s="63"/>
      <c r="M891" s="64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6"/>
      <c r="J892" s="63"/>
      <c r="K892" s="63"/>
      <c r="L892" s="63"/>
      <c r="M892" s="64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6"/>
      <c r="J893" s="63"/>
      <c r="K893" s="63"/>
      <c r="L893" s="63"/>
      <c r="M893" s="64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6"/>
      <c r="J894" s="63"/>
      <c r="K894" s="63"/>
      <c r="L894" s="63"/>
      <c r="M894" s="64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6"/>
      <c r="J895" s="63"/>
      <c r="K895" s="63"/>
      <c r="L895" s="63"/>
      <c r="M895" s="64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6"/>
      <c r="J896" s="63"/>
      <c r="K896" s="63"/>
      <c r="L896" s="63"/>
      <c r="M896" s="64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6"/>
      <c r="J897" s="63"/>
      <c r="K897" s="63"/>
      <c r="L897" s="63"/>
      <c r="M897" s="64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6"/>
      <c r="J898" s="63"/>
      <c r="K898" s="63"/>
      <c r="L898" s="63"/>
      <c r="M898" s="64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6"/>
      <c r="J899" s="63"/>
      <c r="K899" s="63"/>
      <c r="L899" s="63"/>
      <c r="M899" s="64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6"/>
      <c r="J900" s="63"/>
      <c r="K900" s="63"/>
      <c r="L900" s="63"/>
      <c r="M900" s="64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6"/>
      <c r="J901" s="63"/>
      <c r="K901" s="63"/>
      <c r="L901" s="63"/>
      <c r="M901" s="64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6"/>
      <c r="J902" s="63"/>
      <c r="K902" s="63"/>
      <c r="L902" s="63"/>
      <c r="M902" s="64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6"/>
      <c r="J903" s="63"/>
      <c r="K903" s="63"/>
      <c r="L903" s="63"/>
      <c r="M903" s="64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6"/>
      <c r="J904" s="63"/>
      <c r="K904" s="63"/>
      <c r="L904" s="63"/>
      <c r="M904" s="64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6"/>
      <c r="J905" s="63"/>
      <c r="K905" s="63"/>
      <c r="L905" s="63"/>
      <c r="M905" s="64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6"/>
      <c r="J906" s="63"/>
      <c r="K906" s="63"/>
      <c r="L906" s="63"/>
      <c r="M906" s="64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6"/>
      <c r="J907" s="63"/>
      <c r="K907" s="63"/>
      <c r="L907" s="63"/>
      <c r="M907" s="64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6"/>
      <c r="J908" s="63"/>
      <c r="K908" s="63"/>
      <c r="L908" s="63"/>
      <c r="M908" s="64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6"/>
      <c r="J909" s="63"/>
      <c r="K909" s="63"/>
      <c r="L909" s="63"/>
      <c r="M909" s="64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6"/>
      <c r="J910" s="63"/>
      <c r="K910" s="63"/>
      <c r="L910" s="63"/>
      <c r="M910" s="64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6"/>
      <c r="J911" s="63"/>
      <c r="K911" s="63"/>
      <c r="L911" s="63"/>
      <c r="M911" s="64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6"/>
      <c r="J912" s="63"/>
      <c r="K912" s="63"/>
      <c r="L912" s="63"/>
      <c r="M912" s="64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6"/>
      <c r="J913" s="63"/>
      <c r="K913" s="63"/>
      <c r="L913" s="63"/>
      <c r="M913" s="64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6"/>
      <c r="J914" s="63"/>
      <c r="K914" s="63"/>
      <c r="L914" s="63"/>
      <c r="M914" s="64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6"/>
      <c r="J915" s="63"/>
      <c r="K915" s="63"/>
      <c r="L915" s="63"/>
      <c r="M915" s="64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6"/>
      <c r="J916" s="63"/>
      <c r="K916" s="63"/>
      <c r="L916" s="63"/>
      <c r="M916" s="64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6"/>
      <c r="J917" s="63"/>
      <c r="K917" s="63"/>
      <c r="L917" s="63"/>
      <c r="M917" s="64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6"/>
      <c r="J918" s="63"/>
      <c r="K918" s="63"/>
      <c r="L918" s="63"/>
      <c r="M918" s="64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6"/>
      <c r="J919" s="63"/>
      <c r="K919" s="63"/>
      <c r="L919" s="63"/>
      <c r="M919" s="64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6"/>
      <c r="J920" s="63"/>
      <c r="K920" s="63"/>
      <c r="L920" s="63"/>
      <c r="M920" s="64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6"/>
      <c r="J921" s="63"/>
      <c r="K921" s="63"/>
      <c r="L921" s="63"/>
      <c r="M921" s="64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6"/>
      <c r="J922" s="63"/>
      <c r="K922" s="63"/>
      <c r="L922" s="63"/>
      <c r="M922" s="64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6"/>
      <c r="J923" s="63"/>
      <c r="K923" s="63"/>
      <c r="L923" s="63"/>
      <c r="M923" s="64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6"/>
      <c r="J924" s="63"/>
      <c r="K924" s="63"/>
      <c r="L924" s="63"/>
      <c r="M924" s="64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6"/>
      <c r="J925" s="63"/>
      <c r="K925" s="63"/>
      <c r="L925" s="63"/>
      <c r="M925" s="64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6"/>
      <c r="J926" s="63"/>
      <c r="K926" s="63"/>
      <c r="L926" s="63"/>
      <c r="M926" s="64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6"/>
      <c r="J927" s="63"/>
      <c r="K927" s="63"/>
      <c r="L927" s="63"/>
      <c r="M927" s="64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6"/>
      <c r="J928" s="63"/>
      <c r="K928" s="63"/>
      <c r="L928" s="63"/>
      <c r="M928" s="64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6"/>
      <c r="J929" s="63"/>
      <c r="K929" s="63"/>
      <c r="L929" s="63"/>
      <c r="M929" s="64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6"/>
      <c r="J930" s="63"/>
      <c r="K930" s="63"/>
      <c r="L930" s="63"/>
      <c r="M930" s="64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6"/>
      <c r="J931" s="63"/>
      <c r="K931" s="63"/>
      <c r="L931" s="63"/>
      <c r="M931" s="64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6"/>
      <c r="J932" s="63"/>
      <c r="K932" s="63"/>
      <c r="L932" s="63"/>
      <c r="M932" s="64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6"/>
      <c r="J933" s="63"/>
      <c r="K933" s="63"/>
      <c r="L933" s="63"/>
      <c r="M933" s="64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6"/>
      <c r="J934" s="63"/>
      <c r="K934" s="63"/>
      <c r="L934" s="63"/>
      <c r="M934" s="64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6"/>
      <c r="J935" s="63"/>
      <c r="K935" s="63"/>
      <c r="L935" s="63"/>
      <c r="M935" s="64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6"/>
      <c r="J936" s="63"/>
      <c r="K936" s="63"/>
      <c r="L936" s="63"/>
      <c r="M936" s="64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6"/>
      <c r="J937" s="63"/>
      <c r="K937" s="63"/>
      <c r="L937" s="63"/>
      <c r="M937" s="64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6"/>
      <c r="J938" s="63"/>
      <c r="K938" s="63"/>
      <c r="L938" s="63"/>
      <c r="M938" s="64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6"/>
      <c r="J939" s="63"/>
      <c r="K939" s="63"/>
      <c r="L939" s="63"/>
      <c r="M939" s="64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6"/>
      <c r="J940" s="63"/>
      <c r="K940" s="63"/>
      <c r="L940" s="63"/>
      <c r="M940" s="64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6"/>
      <c r="J941" s="63"/>
      <c r="K941" s="63"/>
      <c r="L941" s="63"/>
      <c r="M941" s="64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6"/>
      <c r="J942" s="63"/>
      <c r="K942" s="63"/>
      <c r="L942" s="63"/>
      <c r="M942" s="64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6"/>
      <c r="J943" s="63"/>
      <c r="K943" s="63"/>
      <c r="L943" s="63"/>
      <c r="M943" s="64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6"/>
      <c r="J944" s="63"/>
      <c r="K944" s="63"/>
      <c r="L944" s="63"/>
      <c r="M944" s="64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6"/>
      <c r="J945" s="63"/>
      <c r="K945" s="63"/>
      <c r="L945" s="63"/>
      <c r="M945" s="64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6"/>
      <c r="J946" s="63"/>
      <c r="K946" s="63"/>
      <c r="L946" s="63"/>
      <c r="M946" s="64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6"/>
      <c r="J947" s="63"/>
      <c r="K947" s="63"/>
      <c r="L947" s="63"/>
      <c r="M947" s="64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6"/>
      <c r="J948" s="63"/>
      <c r="K948" s="63"/>
      <c r="L948" s="63"/>
      <c r="M948" s="64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6"/>
      <c r="J949" s="63"/>
      <c r="K949" s="63"/>
      <c r="L949" s="63"/>
      <c r="M949" s="64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6"/>
      <c r="J950" s="63"/>
      <c r="K950" s="63"/>
      <c r="L950" s="63"/>
      <c r="M950" s="64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6"/>
      <c r="J951" s="63"/>
      <c r="K951" s="63"/>
      <c r="L951" s="63"/>
      <c r="M951" s="64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6"/>
      <c r="J952" s="63"/>
      <c r="K952" s="63"/>
      <c r="L952" s="63"/>
      <c r="M952" s="64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6"/>
      <c r="J953" s="63"/>
      <c r="K953" s="63"/>
      <c r="L953" s="63"/>
      <c r="M953" s="64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6"/>
      <c r="J954" s="63"/>
      <c r="K954" s="63"/>
      <c r="L954" s="63"/>
      <c r="M954" s="64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6"/>
      <c r="J955" s="63"/>
      <c r="K955" s="63"/>
      <c r="L955" s="63"/>
      <c r="M955" s="64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6"/>
      <c r="J956" s="63"/>
      <c r="K956" s="63"/>
      <c r="L956" s="63"/>
      <c r="M956" s="64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6"/>
      <c r="J957" s="63"/>
      <c r="K957" s="63"/>
      <c r="L957" s="63"/>
      <c r="M957" s="64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6"/>
      <c r="J958" s="63"/>
      <c r="K958" s="63"/>
      <c r="L958" s="63"/>
      <c r="M958" s="64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6"/>
      <c r="J959" s="63"/>
      <c r="K959" s="63"/>
      <c r="L959" s="63"/>
      <c r="M959" s="64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6"/>
      <c r="J960" s="63"/>
      <c r="K960" s="63"/>
      <c r="L960" s="63"/>
      <c r="M960" s="64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6"/>
      <c r="J961" s="63"/>
      <c r="K961" s="63"/>
      <c r="L961" s="63"/>
      <c r="M961" s="64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6"/>
      <c r="J962" s="63"/>
      <c r="K962" s="63"/>
      <c r="L962" s="63"/>
      <c r="M962" s="64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6"/>
      <c r="J963" s="63"/>
      <c r="K963" s="63"/>
      <c r="L963" s="63"/>
      <c r="M963" s="64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6"/>
      <c r="J964" s="63"/>
      <c r="K964" s="63"/>
      <c r="L964" s="63"/>
      <c r="M964" s="64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6"/>
      <c r="J965" s="63"/>
      <c r="K965" s="63"/>
      <c r="L965" s="63"/>
      <c r="M965" s="64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6"/>
      <c r="J966" s="63"/>
      <c r="K966" s="63"/>
      <c r="L966" s="63"/>
      <c r="M966" s="64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6"/>
      <c r="J967" s="63"/>
      <c r="K967" s="63"/>
      <c r="L967" s="63"/>
      <c r="M967" s="64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6"/>
      <c r="J968" s="63"/>
      <c r="K968" s="63"/>
      <c r="L968" s="63"/>
      <c r="M968" s="64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6"/>
      <c r="J969" s="63"/>
      <c r="K969" s="63"/>
      <c r="L969" s="63"/>
      <c r="M969" s="64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6"/>
      <c r="J970" s="63"/>
      <c r="K970" s="63"/>
      <c r="L970" s="63"/>
      <c r="M970" s="64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6"/>
      <c r="J971" s="63"/>
      <c r="K971" s="63"/>
      <c r="L971" s="63"/>
      <c r="M971" s="64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6"/>
      <c r="J972" s="63"/>
      <c r="K972" s="63"/>
      <c r="L972" s="63"/>
      <c r="M972" s="64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6"/>
      <c r="J973" s="63"/>
      <c r="K973" s="63"/>
      <c r="L973" s="63"/>
      <c r="M973" s="64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6"/>
      <c r="J974" s="63"/>
      <c r="K974" s="63"/>
      <c r="L974" s="63"/>
      <c r="M974" s="64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6"/>
      <c r="J975" s="63"/>
      <c r="K975" s="63"/>
      <c r="L975" s="63"/>
      <c r="M975" s="64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6"/>
      <c r="J976" s="63"/>
      <c r="K976" s="63"/>
      <c r="L976" s="63"/>
      <c r="M976" s="64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6"/>
      <c r="J977" s="63"/>
      <c r="K977" s="63"/>
      <c r="L977" s="63"/>
      <c r="M977" s="64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6"/>
      <c r="J978" s="63"/>
      <c r="K978" s="63"/>
      <c r="L978" s="63"/>
      <c r="M978" s="64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6"/>
      <c r="J979" s="63"/>
      <c r="K979" s="63"/>
      <c r="L979" s="63"/>
      <c r="M979" s="64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6"/>
      <c r="J980" s="63"/>
      <c r="K980" s="63"/>
      <c r="L980" s="63"/>
      <c r="M980" s="64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6"/>
      <c r="J981" s="63"/>
      <c r="K981" s="63"/>
      <c r="L981" s="63"/>
      <c r="M981" s="64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6"/>
      <c r="J982" s="63"/>
      <c r="K982" s="63"/>
      <c r="L982" s="63"/>
      <c r="M982" s="64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6"/>
      <c r="J983" s="63"/>
      <c r="K983" s="63"/>
      <c r="L983" s="63"/>
      <c r="M983" s="64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6"/>
      <c r="J984" s="63"/>
      <c r="K984" s="63"/>
      <c r="L984" s="63"/>
      <c r="M984" s="64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6"/>
      <c r="J985" s="63"/>
      <c r="K985" s="63"/>
      <c r="L985" s="63"/>
      <c r="M985" s="64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6"/>
      <c r="J986" s="63"/>
      <c r="K986" s="63"/>
      <c r="L986" s="63"/>
      <c r="M986" s="64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6"/>
      <c r="J987" s="63"/>
      <c r="K987" s="63"/>
      <c r="L987" s="63"/>
      <c r="M987" s="64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6"/>
      <c r="J988" s="63"/>
      <c r="K988" s="63"/>
      <c r="L988" s="63"/>
      <c r="M988" s="64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6"/>
      <c r="J989" s="63"/>
      <c r="K989" s="63"/>
      <c r="L989" s="63"/>
      <c r="M989" s="64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6"/>
      <c r="J990" s="63"/>
      <c r="K990" s="63"/>
      <c r="L990" s="63"/>
      <c r="M990" s="64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6"/>
      <c r="J991" s="63"/>
      <c r="K991" s="63"/>
      <c r="L991" s="63"/>
      <c r="M991" s="64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6"/>
      <c r="J992" s="63"/>
      <c r="K992" s="63"/>
      <c r="L992" s="63"/>
      <c r="M992" s="64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6"/>
      <c r="J993" s="63"/>
      <c r="K993" s="63"/>
      <c r="L993" s="63"/>
      <c r="M993" s="64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6"/>
      <c r="J994" s="63"/>
      <c r="K994" s="63"/>
      <c r="L994" s="63"/>
      <c r="M994" s="64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6"/>
      <c r="J995" s="63"/>
      <c r="K995" s="63"/>
      <c r="L995" s="63"/>
      <c r="M995" s="64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</sheetData>
  <mergeCells count="1">
    <mergeCell ref="A1:K2"/>
  </mergeCells>
  <dataValidations>
    <dataValidation type="custom" allowBlank="1" showDropDown="1" sqref="E11:K66">
      <formula1>OR(TIMEVALUE(TEXT(E11, "hh:mm:ss"))=E11, AND(ISNUMBER(E11), LEFT(CELL("format", E11))="D"))</formula1>
    </dataValidation>
    <dataValidation type="custom" allowBlank="1" showDropDown="1" sqref="A11:A66">
      <formula1>OR(NOT(ISERROR(DATEVALUE(A11))), AND(ISNUMBER(A11), LEFT(CELL("format", A11))="D"))</formula1>
    </dataValidation>
    <dataValidation type="custom" allowBlank="1" showDropDown="1" sqref="F6:H9 K6:K9">
      <formula1>AND(ISNUMBER(F6),(NOT(OR(NOT(ISERROR(DATEVALUE(F6))), AND(ISNUMBER(F6), LEFT(CELL("format", F6))="D")))))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75"/>
    <col customWidth="1" min="3" max="3" width="18.0"/>
    <col customWidth="1" min="4" max="4" width="13.0"/>
    <col customWidth="1" min="5" max="5" width="12.88"/>
    <col customWidth="1" min="6" max="6" width="13.38"/>
    <col customWidth="1" min="7" max="7" width="15.25"/>
    <col customWidth="1" min="8" max="8" width="17.25"/>
    <col customWidth="1" min="9" max="9" width="17.63"/>
    <col customWidth="1" min="10" max="10" width="16.63"/>
    <col customWidth="1" min="11" max="11" width="20.25"/>
    <col customWidth="1" hidden="1" min="12" max="13" width="7.63"/>
    <col customWidth="1" min="14" max="26" width="7.6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61"/>
      <c r="M1" s="62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63"/>
      <c r="M2" s="64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3"/>
      <c r="B3" s="63"/>
      <c r="C3" s="63"/>
      <c r="D3" s="63"/>
      <c r="E3" s="63"/>
      <c r="F3" s="65"/>
      <c r="G3" s="66"/>
      <c r="H3" s="66"/>
      <c r="I3" s="66"/>
      <c r="J3" s="65"/>
      <c r="K3" s="66"/>
      <c r="L3" s="63"/>
      <c r="M3" s="64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3"/>
      <c r="B4" s="63"/>
      <c r="C4" s="63"/>
      <c r="D4" s="63"/>
      <c r="E4" s="63"/>
      <c r="F4" s="65"/>
      <c r="G4" s="66"/>
      <c r="H4" s="66"/>
      <c r="I4" s="66"/>
      <c r="J4" s="65"/>
      <c r="K4" s="66"/>
      <c r="L4" s="63"/>
      <c r="M4" s="64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22.5" customHeight="1">
      <c r="A5" s="11" t="s">
        <v>34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3" t="s">
        <v>7</v>
      </c>
      <c r="H5" s="13" t="s">
        <v>8</v>
      </c>
      <c r="I5" s="13" t="s">
        <v>35</v>
      </c>
      <c r="J5" s="13" t="s">
        <v>36</v>
      </c>
      <c r="K5" s="12" t="s">
        <v>37</v>
      </c>
      <c r="L5" s="63"/>
      <c r="M5" s="64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22.5" customHeight="1">
      <c r="A6" s="21">
        <v>1.0</v>
      </c>
      <c r="B6" s="34" t="str">
        <f>VLOOKUP(A6,Employees!A:B,2,FALSE)</f>
        <v>Rajat Hela</v>
      </c>
      <c r="C6" s="34">
        <f>VLOOKUP(A6,Employees!A:C,3,FALSE)</f>
        <v>9023270731</v>
      </c>
      <c r="D6" s="34" t="str">
        <f>VLOOKUP(A6,Employees!A:D,4,FALSE)</f>
        <v>Production</v>
      </c>
      <c r="E6" s="67" t="str">
        <f>VLOOKUP(A6,Employees!A:E,5,FALSE)</f>
        <v>CNC Machine Operator</v>
      </c>
      <c r="F6" s="68">
        <f>VLOOKUP(A6,Employees!A:F,6,FALSE)</f>
        <v>17000</v>
      </c>
      <c r="G6" s="69">
        <f>VLOOKUP(A6,Employees!A:G,7,FALSE)</f>
        <v>653.8461538</v>
      </c>
      <c r="H6" s="69">
        <f>VLOOKUP(A6,Employees!A:H,8,FALSE)</f>
        <v>59.44055944</v>
      </c>
      <c r="I6" s="70">
        <f>SUMIFS('05-2026'!$L$10:$L$254,
        '05-2026'!$B$10:$B$254,
        $A6)</f>
        <v>233</v>
      </c>
      <c r="J6" s="70">
        <f>SUMIFS('05-2026'!$M$10:$M$254,
        '05-2026'!$B$10:$B$254,
        $A6)</f>
        <v>0</v>
      </c>
      <c r="K6" s="71">
        <f>('05-2026'!$I6+'05-2026'!$J6)*'05-2026'!$H6</f>
        <v>13849.65035</v>
      </c>
      <c r="L6" s="63"/>
      <c r="M6" s="64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22.5" customHeight="1">
      <c r="A7" s="21">
        <v>3.0</v>
      </c>
      <c r="B7" s="34" t="str">
        <f>VLOOKUP(A7,Employees!A:B,2,FALSE)</f>
        <v>Ranjan Kumar</v>
      </c>
      <c r="C7" s="34">
        <f>VLOOKUP(A7,Employees!A:C,3,FALSE)</f>
        <v>6206577886</v>
      </c>
      <c r="D7" s="34" t="str">
        <f>VLOOKUP(A7,Employees!A:D,4,FALSE)</f>
        <v>Production</v>
      </c>
      <c r="E7" s="67" t="str">
        <f>VLOOKUP(A7,Employees!A:E,5,FALSE)</f>
        <v>CNC Machine Operator</v>
      </c>
      <c r="F7" s="68">
        <f>VLOOKUP(A7,Employees!A:F,6,FALSE)</f>
        <v>21000</v>
      </c>
      <c r="G7" s="69">
        <f>VLOOKUP(A7,Employees!A:G,7,FALSE)</f>
        <v>807.6923077</v>
      </c>
      <c r="H7" s="69">
        <f>VLOOKUP(A7,Employees!A:H,8,FALSE)</f>
        <v>73.42657343</v>
      </c>
      <c r="I7" s="70">
        <f>SUMIFS('05-2026'!$L$10:$L$254,
        '05-2026'!$B$10:$B$254,
        $A7)</f>
        <v>226.15</v>
      </c>
      <c r="J7" s="70">
        <f>SUMIFS('05-2026'!$M$10:$M$254,
        '05-2026'!$B$10:$B$254,
        $A7)</f>
        <v>7</v>
      </c>
      <c r="K7" s="71">
        <f>('05-2026'!$I7+'05-2026'!$J7)*'05-2026'!$H7</f>
        <v>17119.40559</v>
      </c>
      <c r="L7" s="63"/>
      <c r="M7" s="64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22.5" customHeight="1">
      <c r="A8" s="21"/>
      <c r="B8" s="118"/>
      <c r="C8" s="34"/>
      <c r="D8" s="34"/>
      <c r="E8" s="67"/>
      <c r="F8" s="106"/>
      <c r="G8" s="69"/>
      <c r="H8" s="69"/>
      <c r="I8" s="70"/>
      <c r="J8" s="70"/>
      <c r="K8" s="71"/>
      <c r="L8" s="63"/>
      <c r="M8" s="64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22.5" customHeight="1">
      <c r="A9" s="107" t="s">
        <v>15</v>
      </c>
      <c r="B9" s="107" t="s">
        <v>1</v>
      </c>
      <c r="C9" s="107" t="s">
        <v>2</v>
      </c>
      <c r="D9" s="108" t="s">
        <v>38</v>
      </c>
      <c r="E9" s="108" t="s">
        <v>39</v>
      </c>
      <c r="F9" s="108" t="s">
        <v>40</v>
      </c>
      <c r="G9" s="108" t="s">
        <v>41</v>
      </c>
      <c r="H9" s="109" t="s">
        <v>42</v>
      </c>
      <c r="I9" s="109" t="s">
        <v>43</v>
      </c>
      <c r="J9" s="107" t="s">
        <v>44</v>
      </c>
      <c r="K9" s="109" t="s">
        <v>45</v>
      </c>
      <c r="L9" s="21" t="s">
        <v>46</v>
      </c>
      <c r="M9" s="21" t="s">
        <v>47</v>
      </c>
      <c r="N9" s="76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22.5" customHeight="1">
      <c r="A10" s="110"/>
      <c r="B10" s="111"/>
      <c r="C10" s="111"/>
      <c r="D10" s="112"/>
      <c r="E10" s="113"/>
      <c r="F10" s="113"/>
      <c r="G10" s="113"/>
      <c r="H10" s="114"/>
      <c r="I10" s="114"/>
      <c r="J10" s="115"/>
      <c r="K10" s="114"/>
      <c r="L10" s="116" t="str">
        <f t="shared" ref="L10:M10" si="1">IF(J10="","",
   IFERROR(
      HOUR(J10)+MINUTE(J10)/100,
      HOUR(TIMEVALUE(SUBSTITUTE(J10,CHAR(160),"")))
      +MINUTE(TIMEVALUE(SUBSTITUTE(J10,CHAR(160),"")))/100
   )
)
</f>
        <v/>
      </c>
      <c r="M10" s="116" t="str">
        <f t="shared" si="1"/>
        <v/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22.5" customHeight="1">
      <c r="A11" s="117">
        <v>46143.0</v>
      </c>
      <c r="B11" s="118">
        <v>1.0</v>
      </c>
      <c r="C11" s="111" t="str">
        <f>VLOOKUP(B11,Employees!A:B,2,FALSE)</f>
        <v>Rajat Hela</v>
      </c>
      <c r="D11" s="119">
        <v>0.3333333333333333</v>
      </c>
      <c r="E11" s="120">
        <v>0.5416666666666666</v>
      </c>
      <c r="F11" s="121">
        <v>0.5833333333333334</v>
      </c>
      <c r="G11" s="121">
        <v>0.8333333333333334</v>
      </c>
      <c r="H11" s="114">
        <f t="shared" ref="H11:H20" si="2">F11 - E11</f>
        <v>0.04166666667</v>
      </c>
      <c r="I11" s="114">
        <f t="shared" ref="I11:I20" si="3">G11 - D11</f>
        <v>0.5</v>
      </c>
      <c r="J11" s="115">
        <f t="shared" ref="J11:J20" si="4">I11 - H11</f>
        <v>0.4583333333</v>
      </c>
      <c r="K11" s="114">
        <f t="shared" ref="K11:K20" si="5">MAX(
  0,
  MOD(
    IFERROR(
      J11,
      TIMEVALUE(SUBSTITUTE(J11,CHAR(160),""))
    ),
    1
  ) - TIME(11,0,0)
)
</f>
        <v>0</v>
      </c>
      <c r="L11" s="116">
        <f t="shared" ref="L11:L69" si="6">IF(J11="","",
   IFERROR(
      HOUR(MIN(MOD(J11,1), TIME(11,0,0))) +
      MINUTE(MIN(MOD(J11,1), TIME(11,0,0)))/100,
      HOUR(MIN(MOD(TIMEVALUE(SUBSTITUTE(J11,CHAR(160),"")),1), TIME(11,0,0))) +
      MINUTE(MIN(MOD(TIMEVALUE(SUBSTITUTE(J11,CHAR(160),"")),1), TIME(11,0,0)))/100
   )
)
</f>
        <v>11</v>
      </c>
      <c r="M11" s="116">
        <f t="shared" ref="M11:M69" si="7">IF(K11="","",
   IFERROR(
      HOUR(K11)+MINUTE(K11)/100,
      HOUR(TIMEVALUE(SUBSTITUTE(K11,CHAR(160),"")))
      +MINUTE(TIMEVALUE(SUBSTITUTE(K11,CHAR(160),"")))/100
   )
)
</f>
        <v>0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22.5" customHeight="1">
      <c r="A12" s="117"/>
      <c r="B12" s="118">
        <v>3.0</v>
      </c>
      <c r="C12" s="111" t="str">
        <f>VLOOKUP(B12,Employees!A:B,2,FALSE)</f>
        <v>Ranjan Kumar</v>
      </c>
      <c r="D12" s="121">
        <v>0.8333333333333334</v>
      </c>
      <c r="E12" s="120"/>
      <c r="F12" s="121"/>
      <c r="G12" s="121">
        <v>0.2916666666666667</v>
      </c>
      <c r="H12" s="114">
        <f t="shared" si="2"/>
        <v>0</v>
      </c>
      <c r="I12" s="114">
        <f t="shared" si="3"/>
        <v>-0.5416666667</v>
      </c>
      <c r="J12" s="115">
        <f t="shared" si="4"/>
        <v>-0.5416666667</v>
      </c>
      <c r="K12" s="114">
        <f t="shared" si="5"/>
        <v>0</v>
      </c>
      <c r="L12" s="116">
        <f t="shared" si="6"/>
        <v>11</v>
      </c>
      <c r="M12" s="116">
        <f t="shared" si="7"/>
        <v>0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22.5" customHeight="1">
      <c r="A13" s="117">
        <v>46144.0</v>
      </c>
      <c r="B13" s="118">
        <v>1.0</v>
      </c>
      <c r="C13" s="111" t="str">
        <f>VLOOKUP(B13,Employees!A:B,2,FALSE)</f>
        <v>Rajat Hela</v>
      </c>
      <c r="D13" s="119">
        <v>0.3333333333333333</v>
      </c>
      <c r="E13" s="120">
        <v>0.5416666666666666</v>
      </c>
      <c r="F13" s="121">
        <v>0.5833333333333334</v>
      </c>
      <c r="G13" s="121">
        <v>0.8333333333333334</v>
      </c>
      <c r="H13" s="114">
        <f t="shared" si="2"/>
        <v>0.04166666667</v>
      </c>
      <c r="I13" s="114">
        <f t="shared" si="3"/>
        <v>0.5</v>
      </c>
      <c r="J13" s="115">
        <f t="shared" si="4"/>
        <v>0.4583333333</v>
      </c>
      <c r="K13" s="114">
        <f t="shared" si="5"/>
        <v>0</v>
      </c>
      <c r="L13" s="116">
        <f t="shared" si="6"/>
        <v>11</v>
      </c>
      <c r="M13" s="116">
        <f t="shared" si="7"/>
        <v>0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22.5" customHeight="1">
      <c r="A14" s="117"/>
      <c r="B14" s="118">
        <v>3.0</v>
      </c>
      <c r="C14" s="111" t="str">
        <f>VLOOKUP(B14,Employees!A:B,2,FALSE)</f>
        <v>Ranjan Kumar</v>
      </c>
      <c r="D14" s="121">
        <v>0.8333333333333334</v>
      </c>
      <c r="E14" s="120"/>
      <c r="F14" s="121"/>
      <c r="G14" s="121">
        <v>0.2916666666666667</v>
      </c>
      <c r="H14" s="114">
        <f t="shared" si="2"/>
        <v>0</v>
      </c>
      <c r="I14" s="114">
        <f t="shared" si="3"/>
        <v>-0.5416666667</v>
      </c>
      <c r="J14" s="115">
        <f t="shared" si="4"/>
        <v>-0.5416666667</v>
      </c>
      <c r="K14" s="114">
        <f t="shared" si="5"/>
        <v>0</v>
      </c>
      <c r="L14" s="116">
        <f t="shared" si="6"/>
        <v>11</v>
      </c>
      <c r="M14" s="116">
        <f t="shared" si="7"/>
        <v>0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22.5" customHeight="1">
      <c r="A15" s="117">
        <v>46145.0</v>
      </c>
      <c r="B15" s="118">
        <v>1.0</v>
      </c>
      <c r="C15" s="111" t="str">
        <f>VLOOKUP(B15,Employees!A:B,2,FALSE)</f>
        <v>Rajat Hela</v>
      </c>
      <c r="D15" s="119">
        <v>0.3333333333333333</v>
      </c>
      <c r="E15" s="120">
        <v>0.5</v>
      </c>
      <c r="F15" s="121">
        <v>0.5416666666666666</v>
      </c>
      <c r="G15" s="121">
        <v>0.8333333333333334</v>
      </c>
      <c r="H15" s="114">
        <f t="shared" si="2"/>
        <v>0.04166666667</v>
      </c>
      <c r="I15" s="114">
        <f t="shared" si="3"/>
        <v>0.5</v>
      </c>
      <c r="J15" s="115">
        <f t="shared" si="4"/>
        <v>0.4583333333</v>
      </c>
      <c r="K15" s="114">
        <f t="shared" si="5"/>
        <v>0</v>
      </c>
      <c r="L15" s="116">
        <f t="shared" si="6"/>
        <v>11</v>
      </c>
      <c r="M15" s="116">
        <f t="shared" si="7"/>
        <v>0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22.5" customHeight="1">
      <c r="A16" s="117"/>
      <c r="B16" s="118">
        <v>3.0</v>
      </c>
      <c r="C16" s="111" t="str">
        <f>VLOOKUP(B16,Employees!A:B,2,FALSE)</f>
        <v>Ranjan Kumar</v>
      </c>
      <c r="D16" s="121">
        <v>0.8333333333333334</v>
      </c>
      <c r="E16" s="120"/>
      <c r="F16" s="121"/>
      <c r="G16" s="121">
        <v>0.3333333333333333</v>
      </c>
      <c r="H16" s="114">
        <f t="shared" si="2"/>
        <v>0</v>
      </c>
      <c r="I16" s="114">
        <f t="shared" si="3"/>
        <v>-0.5</v>
      </c>
      <c r="J16" s="115">
        <f t="shared" si="4"/>
        <v>-0.5</v>
      </c>
      <c r="K16" s="114">
        <f t="shared" si="5"/>
        <v>0.04166666667</v>
      </c>
      <c r="L16" s="116">
        <f t="shared" si="6"/>
        <v>11</v>
      </c>
      <c r="M16" s="116">
        <f t="shared" si="7"/>
        <v>1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22.5" customHeight="1">
      <c r="A17" s="117">
        <v>46146.0</v>
      </c>
      <c r="B17" s="118">
        <v>1.0</v>
      </c>
      <c r="C17" s="111" t="str">
        <f>VLOOKUP(B17,Employees!A:B,2,FALSE)</f>
        <v>Rajat Hela</v>
      </c>
      <c r="D17" s="119">
        <v>0.3333333333333333</v>
      </c>
      <c r="E17" s="120">
        <v>0.5416666666666666</v>
      </c>
      <c r="F17" s="121">
        <v>0.5833333333333334</v>
      </c>
      <c r="G17" s="121">
        <v>0.8333333333333334</v>
      </c>
      <c r="H17" s="114">
        <f t="shared" si="2"/>
        <v>0.04166666667</v>
      </c>
      <c r="I17" s="114">
        <f t="shared" si="3"/>
        <v>0.5</v>
      </c>
      <c r="J17" s="115">
        <f t="shared" si="4"/>
        <v>0.4583333333</v>
      </c>
      <c r="K17" s="114">
        <f t="shared" si="5"/>
        <v>0</v>
      </c>
      <c r="L17" s="116">
        <f t="shared" si="6"/>
        <v>11</v>
      </c>
      <c r="M17" s="116">
        <f t="shared" si="7"/>
        <v>0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22.5" customHeight="1">
      <c r="A18" s="117"/>
      <c r="B18" s="118">
        <v>3.0</v>
      </c>
      <c r="C18" s="111" t="str">
        <f>VLOOKUP(B18,Employees!A:B,2,FALSE)</f>
        <v>Ranjan Kumar</v>
      </c>
      <c r="D18" s="121">
        <v>0.8333333333333334</v>
      </c>
      <c r="E18" s="120"/>
      <c r="F18" s="121"/>
      <c r="G18" s="121">
        <v>0.375</v>
      </c>
      <c r="H18" s="114">
        <f t="shared" si="2"/>
        <v>0</v>
      </c>
      <c r="I18" s="114">
        <f t="shared" si="3"/>
        <v>-0.4583333333</v>
      </c>
      <c r="J18" s="115">
        <f t="shared" si="4"/>
        <v>-0.4583333333</v>
      </c>
      <c r="K18" s="114">
        <f t="shared" si="5"/>
        <v>0.08333333333</v>
      </c>
      <c r="L18" s="116">
        <f t="shared" si="6"/>
        <v>11</v>
      </c>
      <c r="M18" s="116">
        <f t="shared" si="7"/>
        <v>2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22.5" customHeight="1">
      <c r="A19" s="117">
        <v>46147.0</v>
      </c>
      <c r="B19" s="118">
        <v>1.0</v>
      </c>
      <c r="C19" s="111" t="str">
        <f>VLOOKUP(B19,Employees!A:B,2,FALSE)</f>
        <v>Rajat Hela</v>
      </c>
      <c r="D19" s="119">
        <v>0.3333333333333333</v>
      </c>
      <c r="E19" s="120">
        <v>0.5416666666666666</v>
      </c>
      <c r="F19" s="121">
        <v>0.5833333333333334</v>
      </c>
      <c r="G19" s="121">
        <v>0.6666666666666666</v>
      </c>
      <c r="H19" s="114">
        <f t="shared" si="2"/>
        <v>0.04166666667</v>
      </c>
      <c r="I19" s="114">
        <f t="shared" si="3"/>
        <v>0.3333333333</v>
      </c>
      <c r="J19" s="115">
        <f t="shared" si="4"/>
        <v>0.2916666667</v>
      </c>
      <c r="K19" s="114">
        <f t="shared" si="5"/>
        <v>0</v>
      </c>
      <c r="L19" s="116">
        <f t="shared" si="6"/>
        <v>7</v>
      </c>
      <c r="M19" s="116">
        <f t="shared" si="7"/>
        <v>0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22.5" customHeight="1">
      <c r="A20" s="117"/>
      <c r="B20" s="118"/>
      <c r="C20" s="111" t="str">
        <f>VLOOKUP(B20,Employees!A:B,2,FALSE)</f>
        <v>#N/A</v>
      </c>
      <c r="D20" s="121"/>
      <c r="E20" s="120"/>
      <c r="F20" s="121"/>
      <c r="G20" s="121"/>
      <c r="H20" s="114">
        <f t="shared" si="2"/>
        <v>0</v>
      </c>
      <c r="I20" s="114">
        <f t="shared" si="3"/>
        <v>0</v>
      </c>
      <c r="J20" s="115">
        <f t="shared" si="4"/>
        <v>0</v>
      </c>
      <c r="K20" s="114">
        <f t="shared" si="5"/>
        <v>0</v>
      </c>
      <c r="L20" s="116">
        <f t="shared" si="6"/>
        <v>0</v>
      </c>
      <c r="M20" s="116">
        <f t="shared" si="7"/>
        <v>0</v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22.5" customHeight="1">
      <c r="A21" s="117">
        <v>46148.0</v>
      </c>
      <c r="B21" s="118"/>
      <c r="C21" s="111"/>
      <c r="D21" s="119"/>
      <c r="E21" s="120"/>
      <c r="F21" s="121"/>
      <c r="G21" s="118" t="s">
        <v>48</v>
      </c>
      <c r="H21" s="114"/>
      <c r="I21" s="114"/>
      <c r="J21" s="115"/>
      <c r="K21" s="114"/>
      <c r="L21" s="116" t="str">
        <f t="shared" si="6"/>
        <v/>
      </c>
      <c r="M21" s="116" t="str">
        <f t="shared" si="7"/>
        <v/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22.5" customHeight="1">
      <c r="A22" s="117">
        <v>46149.0</v>
      </c>
      <c r="B22" s="118">
        <v>1.0</v>
      </c>
      <c r="C22" s="111" t="str">
        <f>VLOOKUP(B22,Employees!A:B,2,FALSE)</f>
        <v>Rajat Hela</v>
      </c>
      <c r="D22" s="119">
        <v>0.5</v>
      </c>
      <c r="E22" s="120"/>
      <c r="F22" s="121"/>
      <c r="G22" s="121">
        <v>0.6666666666666666</v>
      </c>
      <c r="H22" s="114">
        <f t="shared" ref="H22:H33" si="8">F22 - E22</f>
        <v>0</v>
      </c>
      <c r="I22" s="114">
        <f t="shared" ref="I22:I33" si="9">G22 - D22</f>
        <v>0.1666666667</v>
      </c>
      <c r="J22" s="115">
        <f t="shared" ref="J22:J33" si="10">I22 - H22</f>
        <v>0.1666666667</v>
      </c>
      <c r="K22" s="114">
        <f t="shared" ref="K22:K33" si="11">MAX(
  0,
  MOD(
    IFERROR(
      J22,
      TIMEVALUE(SUBSTITUTE(J22,CHAR(160),""))
    ),
    1
  ) - TIME(11,0,0)
)
</f>
        <v>0</v>
      </c>
      <c r="L22" s="116">
        <f t="shared" si="6"/>
        <v>4</v>
      </c>
      <c r="M22" s="116">
        <f t="shared" si="7"/>
        <v>0</v>
      </c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22.5" customHeight="1">
      <c r="A23" s="117"/>
      <c r="B23" s="118">
        <v>3.0</v>
      </c>
      <c r="C23" s="111" t="str">
        <f>VLOOKUP(B23,Employees!A:B,2,FALSE)</f>
        <v>Ranjan Kumar</v>
      </c>
      <c r="D23" s="121">
        <v>0.5</v>
      </c>
      <c r="E23" s="120"/>
      <c r="F23" s="121"/>
      <c r="G23" s="121">
        <v>0.6666666666666666</v>
      </c>
      <c r="H23" s="114">
        <f t="shared" si="8"/>
        <v>0</v>
      </c>
      <c r="I23" s="114">
        <f t="shared" si="9"/>
        <v>0.1666666667</v>
      </c>
      <c r="J23" s="115">
        <f t="shared" si="10"/>
        <v>0.1666666667</v>
      </c>
      <c r="K23" s="114">
        <f t="shared" si="11"/>
        <v>0</v>
      </c>
      <c r="L23" s="116">
        <f t="shared" si="6"/>
        <v>4</v>
      </c>
      <c r="M23" s="116">
        <f t="shared" si="7"/>
        <v>0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22.5" customHeight="1">
      <c r="A24" s="117">
        <v>46150.0</v>
      </c>
      <c r="B24" s="118"/>
      <c r="C24" s="111" t="str">
        <f>VLOOKUP(B24,Employees!A:B,2,FALSE)</f>
        <v>#N/A</v>
      </c>
      <c r="D24" s="119"/>
      <c r="E24" s="120"/>
      <c r="F24" s="121"/>
      <c r="G24" s="121"/>
      <c r="H24" s="114">
        <f t="shared" si="8"/>
        <v>0</v>
      </c>
      <c r="I24" s="114">
        <f t="shared" si="9"/>
        <v>0</v>
      </c>
      <c r="J24" s="115">
        <f t="shared" si="10"/>
        <v>0</v>
      </c>
      <c r="K24" s="114">
        <f t="shared" si="11"/>
        <v>0</v>
      </c>
      <c r="L24" s="116">
        <f t="shared" si="6"/>
        <v>0</v>
      </c>
      <c r="M24" s="116">
        <f t="shared" si="7"/>
        <v>0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22.5" customHeight="1">
      <c r="A25" s="117"/>
      <c r="B25" s="118"/>
      <c r="C25" s="111" t="str">
        <f>VLOOKUP(B25,Employees!A:B,2,FALSE)</f>
        <v>#N/A</v>
      </c>
      <c r="D25" s="121"/>
      <c r="E25" s="120"/>
      <c r="F25" s="121"/>
      <c r="G25" s="121"/>
      <c r="H25" s="114">
        <f t="shared" si="8"/>
        <v>0</v>
      </c>
      <c r="I25" s="114">
        <f t="shared" si="9"/>
        <v>0</v>
      </c>
      <c r="J25" s="115">
        <f t="shared" si="10"/>
        <v>0</v>
      </c>
      <c r="K25" s="114">
        <f t="shared" si="11"/>
        <v>0</v>
      </c>
      <c r="L25" s="116">
        <f t="shared" si="6"/>
        <v>0</v>
      </c>
      <c r="M25" s="116">
        <f t="shared" si="7"/>
        <v>0</v>
      </c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22.5" customHeight="1">
      <c r="A26" s="117">
        <v>46151.0</v>
      </c>
      <c r="B26" s="118"/>
      <c r="C26" s="111" t="str">
        <f>VLOOKUP(B26,Employees!A:B,2,FALSE)</f>
        <v>#N/A</v>
      </c>
      <c r="D26" s="119"/>
      <c r="E26" s="120"/>
      <c r="F26" s="121"/>
      <c r="G26" s="121"/>
      <c r="H26" s="114">
        <f t="shared" si="8"/>
        <v>0</v>
      </c>
      <c r="I26" s="114">
        <f t="shared" si="9"/>
        <v>0</v>
      </c>
      <c r="J26" s="115">
        <f t="shared" si="10"/>
        <v>0</v>
      </c>
      <c r="K26" s="114">
        <f t="shared" si="11"/>
        <v>0</v>
      </c>
      <c r="L26" s="116">
        <f t="shared" si="6"/>
        <v>0</v>
      </c>
      <c r="M26" s="116">
        <f t="shared" si="7"/>
        <v>0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22.5" customHeight="1">
      <c r="A27" s="117"/>
      <c r="B27" s="118"/>
      <c r="C27" s="111" t="str">
        <f>VLOOKUP(B27,Employees!A:B,2,FALSE)</f>
        <v>#N/A</v>
      </c>
      <c r="D27" s="121"/>
      <c r="E27" s="120"/>
      <c r="F27" s="121"/>
      <c r="G27" s="121"/>
      <c r="H27" s="114">
        <f t="shared" si="8"/>
        <v>0</v>
      </c>
      <c r="I27" s="114">
        <f t="shared" si="9"/>
        <v>0</v>
      </c>
      <c r="J27" s="115">
        <f t="shared" si="10"/>
        <v>0</v>
      </c>
      <c r="K27" s="114">
        <f t="shared" si="11"/>
        <v>0</v>
      </c>
      <c r="L27" s="116">
        <f t="shared" si="6"/>
        <v>0</v>
      </c>
      <c r="M27" s="116">
        <f t="shared" si="7"/>
        <v>0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22.5" customHeight="1">
      <c r="A28" s="117">
        <v>46152.0</v>
      </c>
      <c r="B28" s="118">
        <v>1.0</v>
      </c>
      <c r="C28" s="111" t="str">
        <f>VLOOKUP(B28,Employees!A:B,2,FALSE)</f>
        <v>Rajat Hela</v>
      </c>
      <c r="D28" s="119">
        <v>0.3333333333333333</v>
      </c>
      <c r="E28" s="120">
        <v>0.5416666666666666</v>
      </c>
      <c r="F28" s="121">
        <v>0.5833333333333334</v>
      </c>
      <c r="G28" s="121">
        <v>0.7083333333333334</v>
      </c>
      <c r="H28" s="114">
        <f t="shared" si="8"/>
        <v>0.04166666667</v>
      </c>
      <c r="I28" s="114">
        <f t="shared" si="9"/>
        <v>0.375</v>
      </c>
      <c r="J28" s="115">
        <f t="shared" si="10"/>
        <v>0.3333333333</v>
      </c>
      <c r="K28" s="114">
        <f t="shared" si="11"/>
        <v>0</v>
      </c>
      <c r="L28" s="116">
        <f t="shared" si="6"/>
        <v>8</v>
      </c>
      <c r="M28" s="116">
        <f t="shared" si="7"/>
        <v>0</v>
      </c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22.5" customHeight="1">
      <c r="A29" s="117"/>
      <c r="B29" s="118">
        <v>3.0</v>
      </c>
      <c r="C29" s="111" t="str">
        <f>VLOOKUP(B29,Employees!A:B,2,FALSE)</f>
        <v>Ranjan Kumar</v>
      </c>
      <c r="D29" s="121">
        <v>0.7083333333333334</v>
      </c>
      <c r="E29" s="120"/>
      <c r="F29" s="121"/>
      <c r="G29" s="121">
        <v>0.041666666666666664</v>
      </c>
      <c r="H29" s="114">
        <f t="shared" si="8"/>
        <v>0</v>
      </c>
      <c r="I29" s="114">
        <f t="shared" si="9"/>
        <v>-0.6666666667</v>
      </c>
      <c r="J29" s="115">
        <f t="shared" si="10"/>
        <v>-0.6666666667</v>
      </c>
      <c r="K29" s="114">
        <f t="shared" si="11"/>
        <v>0</v>
      </c>
      <c r="L29" s="116">
        <f t="shared" si="6"/>
        <v>8</v>
      </c>
      <c r="M29" s="116">
        <f t="shared" si="7"/>
        <v>0</v>
      </c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22.5" customHeight="1">
      <c r="A30" s="117">
        <v>46153.0</v>
      </c>
      <c r="B30" s="118">
        <v>3.0</v>
      </c>
      <c r="C30" s="111" t="str">
        <f>VLOOKUP(B30,Employees!A:B,2,FALSE)</f>
        <v>Ranjan Kumar</v>
      </c>
      <c r="D30" s="119">
        <v>0.3333333333333333</v>
      </c>
      <c r="E30" s="120">
        <v>0.5416666666666666</v>
      </c>
      <c r="F30" s="121">
        <v>0.5833333333333334</v>
      </c>
      <c r="G30" s="121">
        <v>0.7604166666666666</v>
      </c>
      <c r="H30" s="114">
        <f t="shared" si="8"/>
        <v>0.04166666667</v>
      </c>
      <c r="I30" s="114">
        <f t="shared" si="9"/>
        <v>0.4270833333</v>
      </c>
      <c r="J30" s="115">
        <f t="shared" si="10"/>
        <v>0.3854166667</v>
      </c>
      <c r="K30" s="114">
        <f t="shared" si="11"/>
        <v>0</v>
      </c>
      <c r="L30" s="116">
        <f t="shared" si="6"/>
        <v>9.15</v>
      </c>
      <c r="M30" s="116">
        <f t="shared" si="7"/>
        <v>0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22.5" customHeight="1">
      <c r="A31" s="117"/>
      <c r="B31" s="118"/>
      <c r="C31" s="111" t="str">
        <f>VLOOKUP(B31,Employees!A:B,2,FALSE)</f>
        <v>#N/A</v>
      </c>
      <c r="D31" s="121"/>
      <c r="E31" s="120"/>
      <c r="F31" s="121"/>
      <c r="G31" s="121"/>
      <c r="H31" s="114">
        <f t="shared" si="8"/>
        <v>0</v>
      </c>
      <c r="I31" s="114">
        <f t="shared" si="9"/>
        <v>0</v>
      </c>
      <c r="J31" s="115">
        <f t="shared" si="10"/>
        <v>0</v>
      </c>
      <c r="K31" s="114">
        <f t="shared" si="11"/>
        <v>0</v>
      </c>
      <c r="L31" s="116">
        <f t="shared" si="6"/>
        <v>0</v>
      </c>
      <c r="M31" s="116">
        <f t="shared" si="7"/>
        <v>0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22.5" customHeight="1">
      <c r="A32" s="117">
        <v>46154.0</v>
      </c>
      <c r="B32" s="118">
        <v>1.0</v>
      </c>
      <c r="C32" s="111" t="str">
        <f>VLOOKUP(B32,Employees!A:B,2,FALSE)</f>
        <v>Rajat Hela</v>
      </c>
      <c r="D32" s="119">
        <v>0.3333333333333333</v>
      </c>
      <c r="E32" s="120">
        <v>0.5416666666666666</v>
      </c>
      <c r="F32" s="121">
        <v>0.5833333333333334</v>
      </c>
      <c r="G32" s="121">
        <v>0.7083333333333334</v>
      </c>
      <c r="H32" s="114">
        <f t="shared" si="8"/>
        <v>0.04166666667</v>
      </c>
      <c r="I32" s="114">
        <f t="shared" si="9"/>
        <v>0.375</v>
      </c>
      <c r="J32" s="115">
        <f t="shared" si="10"/>
        <v>0.3333333333</v>
      </c>
      <c r="K32" s="114">
        <f t="shared" si="11"/>
        <v>0</v>
      </c>
      <c r="L32" s="116">
        <f t="shared" si="6"/>
        <v>8</v>
      </c>
      <c r="M32" s="116">
        <f t="shared" si="7"/>
        <v>0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22.5" customHeight="1">
      <c r="A33" s="117"/>
      <c r="B33" s="118">
        <v>3.0</v>
      </c>
      <c r="C33" s="111" t="str">
        <f>VLOOKUP(B33,Employees!A:B,2,FALSE)</f>
        <v>Ranjan Kumar</v>
      </c>
      <c r="D33" s="121">
        <v>0.7083333333333334</v>
      </c>
      <c r="E33" s="120"/>
      <c r="F33" s="121"/>
      <c r="G33" s="121">
        <v>0.041666666666666664</v>
      </c>
      <c r="H33" s="114">
        <f t="shared" si="8"/>
        <v>0</v>
      </c>
      <c r="I33" s="114">
        <f t="shared" si="9"/>
        <v>-0.6666666667</v>
      </c>
      <c r="J33" s="115">
        <f t="shared" si="10"/>
        <v>-0.6666666667</v>
      </c>
      <c r="K33" s="114">
        <f t="shared" si="11"/>
        <v>0</v>
      </c>
      <c r="L33" s="116">
        <f t="shared" si="6"/>
        <v>8</v>
      </c>
      <c r="M33" s="116">
        <f t="shared" si="7"/>
        <v>0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22.5" customHeight="1">
      <c r="A34" s="117">
        <v>46155.0</v>
      </c>
      <c r="B34" s="118"/>
      <c r="C34" s="111"/>
      <c r="D34" s="119"/>
      <c r="E34" s="120"/>
      <c r="F34" s="121"/>
      <c r="G34" s="118" t="s">
        <v>48</v>
      </c>
      <c r="H34" s="114"/>
      <c r="I34" s="114"/>
      <c r="J34" s="115"/>
      <c r="K34" s="114"/>
      <c r="L34" s="116" t="str">
        <f t="shared" si="6"/>
        <v/>
      </c>
      <c r="M34" s="116" t="str">
        <f t="shared" si="7"/>
        <v/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A35" s="117">
        <v>46156.0</v>
      </c>
      <c r="B35" s="118">
        <v>1.0</v>
      </c>
      <c r="C35" s="111" t="str">
        <f>VLOOKUP(B35,Employees!A:B,2,FALSE)</f>
        <v>Rajat Hela</v>
      </c>
      <c r="D35" s="119">
        <v>0.3333333333333333</v>
      </c>
      <c r="E35" s="120">
        <v>0.5416666666666666</v>
      </c>
      <c r="F35" s="121">
        <v>0.5833333333333334</v>
      </c>
      <c r="G35" s="121">
        <v>0.7083333333333334</v>
      </c>
      <c r="H35" s="114">
        <f t="shared" ref="H35:H60" si="12">F35 - E35</f>
        <v>0.04166666667</v>
      </c>
      <c r="I35" s="114">
        <f t="shared" ref="I35:I46" si="13">G35 - D35</f>
        <v>0.375</v>
      </c>
      <c r="J35" s="115">
        <f t="shared" ref="J35:J46" si="14">I35 - H35</f>
        <v>0.3333333333</v>
      </c>
      <c r="K35" s="114">
        <f t="shared" ref="K35:K60" si="15">MAX(
  0,
  MOD(
    IFERROR(
      J35,
      TIMEVALUE(SUBSTITUTE(J35,CHAR(160),""))
    ),
    1
  ) - TIME(11,0,0)
)
</f>
        <v>0</v>
      </c>
      <c r="L35" s="116">
        <f t="shared" si="6"/>
        <v>8</v>
      </c>
      <c r="M35" s="116">
        <f t="shared" si="7"/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A36" s="117"/>
      <c r="B36" s="118">
        <v>3.0</v>
      </c>
      <c r="C36" s="111" t="str">
        <f>VLOOKUP(B36,Employees!A:B,2,FALSE)</f>
        <v>Ranjan Kumar</v>
      </c>
      <c r="D36" s="121">
        <v>0.7083333333333334</v>
      </c>
      <c r="E36" s="120"/>
      <c r="F36" s="121"/>
      <c r="G36" s="121">
        <v>0.06944444444444445</v>
      </c>
      <c r="H36" s="114">
        <f t="shared" si="12"/>
        <v>0</v>
      </c>
      <c r="I36" s="114">
        <f t="shared" si="13"/>
        <v>-0.6388888889</v>
      </c>
      <c r="J36" s="115">
        <f t="shared" si="14"/>
        <v>-0.6388888889</v>
      </c>
      <c r="K36" s="114">
        <f t="shared" si="15"/>
        <v>0</v>
      </c>
      <c r="L36" s="116">
        <f t="shared" si="6"/>
        <v>8.4</v>
      </c>
      <c r="M36" s="116">
        <f t="shared" si="7"/>
        <v>0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A37" s="117">
        <v>46157.0</v>
      </c>
      <c r="B37" s="118">
        <v>1.0</v>
      </c>
      <c r="C37" s="111" t="str">
        <f>VLOOKUP(B37,Employees!A:B,2,FALSE)</f>
        <v>Rajat Hela</v>
      </c>
      <c r="D37" s="119">
        <v>0.3333333333333333</v>
      </c>
      <c r="E37" s="120"/>
      <c r="F37" s="121"/>
      <c r="G37" s="121">
        <v>0.4583333333333333</v>
      </c>
      <c r="H37" s="114">
        <f t="shared" si="12"/>
        <v>0</v>
      </c>
      <c r="I37" s="114">
        <f t="shared" si="13"/>
        <v>0.125</v>
      </c>
      <c r="J37" s="115">
        <f t="shared" si="14"/>
        <v>0.125</v>
      </c>
      <c r="K37" s="114">
        <f t="shared" si="15"/>
        <v>0</v>
      </c>
      <c r="L37" s="116">
        <f t="shared" si="6"/>
        <v>3</v>
      </c>
      <c r="M37" s="116">
        <f t="shared" si="7"/>
        <v>0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117"/>
      <c r="B38" s="118">
        <v>3.0</v>
      </c>
      <c r="C38" s="111" t="str">
        <f>VLOOKUP(B38,Employees!A:B,2,FALSE)</f>
        <v>Ranjan Kumar</v>
      </c>
      <c r="D38" s="121">
        <v>0.625</v>
      </c>
      <c r="E38" s="120"/>
      <c r="F38" s="121"/>
      <c r="G38" s="121">
        <v>0.9583333333333334</v>
      </c>
      <c r="H38" s="114">
        <f t="shared" si="12"/>
        <v>0</v>
      </c>
      <c r="I38" s="114">
        <f t="shared" si="13"/>
        <v>0.3333333333</v>
      </c>
      <c r="J38" s="115">
        <f t="shared" si="14"/>
        <v>0.3333333333</v>
      </c>
      <c r="K38" s="114">
        <f t="shared" si="15"/>
        <v>0</v>
      </c>
      <c r="L38" s="116">
        <f t="shared" si="6"/>
        <v>8</v>
      </c>
      <c r="M38" s="116">
        <f t="shared" si="7"/>
        <v>0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117">
        <v>46158.0</v>
      </c>
      <c r="B39" s="118">
        <v>1.0</v>
      </c>
      <c r="C39" s="111" t="str">
        <f>VLOOKUP(B39,Employees!A:B,2,FALSE)</f>
        <v>Rajat Hela</v>
      </c>
      <c r="D39" s="119">
        <v>0.3333333333333333</v>
      </c>
      <c r="E39" s="120">
        <v>0.5416666666666666</v>
      </c>
      <c r="F39" s="121">
        <v>0.5833333333333334</v>
      </c>
      <c r="G39" s="121">
        <v>0.7083333333333334</v>
      </c>
      <c r="H39" s="114">
        <f t="shared" si="12"/>
        <v>0.04166666667</v>
      </c>
      <c r="I39" s="114">
        <f t="shared" si="13"/>
        <v>0.375</v>
      </c>
      <c r="J39" s="115">
        <f t="shared" si="14"/>
        <v>0.3333333333</v>
      </c>
      <c r="K39" s="114">
        <f t="shared" si="15"/>
        <v>0</v>
      </c>
      <c r="L39" s="116">
        <f t="shared" si="6"/>
        <v>8</v>
      </c>
      <c r="M39" s="116">
        <f t="shared" si="7"/>
        <v>0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117"/>
      <c r="B40" s="118">
        <v>3.0</v>
      </c>
      <c r="C40" s="111" t="str">
        <f>VLOOKUP(B40,Employees!A:B,2,FALSE)</f>
        <v>Ranjan Kumar</v>
      </c>
      <c r="D40" s="121">
        <v>0.7083333333333334</v>
      </c>
      <c r="E40" s="120"/>
      <c r="F40" s="121"/>
      <c r="G40" s="121">
        <v>0.041666666666666664</v>
      </c>
      <c r="H40" s="114">
        <f t="shared" si="12"/>
        <v>0</v>
      </c>
      <c r="I40" s="114">
        <f t="shared" si="13"/>
        <v>-0.6666666667</v>
      </c>
      <c r="J40" s="115">
        <f t="shared" si="14"/>
        <v>-0.6666666667</v>
      </c>
      <c r="K40" s="114">
        <f t="shared" si="15"/>
        <v>0</v>
      </c>
      <c r="L40" s="116">
        <f t="shared" si="6"/>
        <v>8</v>
      </c>
      <c r="M40" s="116">
        <f t="shared" si="7"/>
        <v>0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117">
        <v>46159.0</v>
      </c>
      <c r="B41" s="118">
        <v>1.0</v>
      </c>
      <c r="C41" s="111" t="str">
        <f>VLOOKUP(B41,Employees!A:B,2,FALSE)</f>
        <v>Rajat Hela</v>
      </c>
      <c r="D41" s="119">
        <v>0.3333333333333333</v>
      </c>
      <c r="E41" s="120">
        <v>0.5416666666666666</v>
      </c>
      <c r="F41" s="121">
        <v>0.5833333333333334</v>
      </c>
      <c r="G41" s="121">
        <v>0.7083333333333334</v>
      </c>
      <c r="H41" s="114">
        <f t="shared" si="12"/>
        <v>0.04166666667</v>
      </c>
      <c r="I41" s="114">
        <f t="shared" si="13"/>
        <v>0.375</v>
      </c>
      <c r="J41" s="115">
        <f t="shared" si="14"/>
        <v>0.3333333333</v>
      </c>
      <c r="K41" s="114">
        <f t="shared" si="15"/>
        <v>0</v>
      </c>
      <c r="L41" s="116">
        <f t="shared" si="6"/>
        <v>8</v>
      </c>
      <c r="M41" s="116">
        <f t="shared" si="7"/>
        <v>0</v>
      </c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117"/>
      <c r="B42" s="118">
        <v>3.0</v>
      </c>
      <c r="C42" s="111" t="str">
        <f>VLOOKUP(B42,Employees!A:B,2,FALSE)</f>
        <v>Ranjan Kumar</v>
      </c>
      <c r="D42" s="121">
        <v>0.7083333333333334</v>
      </c>
      <c r="E42" s="120"/>
      <c r="F42" s="121"/>
      <c r="G42" s="121">
        <v>0.14583333333333334</v>
      </c>
      <c r="H42" s="114">
        <f t="shared" si="12"/>
        <v>0</v>
      </c>
      <c r="I42" s="114">
        <f t="shared" si="13"/>
        <v>-0.5625</v>
      </c>
      <c r="J42" s="115">
        <f t="shared" si="14"/>
        <v>-0.5625</v>
      </c>
      <c r="K42" s="114">
        <f t="shared" si="15"/>
        <v>0</v>
      </c>
      <c r="L42" s="116">
        <f t="shared" si="6"/>
        <v>10.3</v>
      </c>
      <c r="M42" s="116">
        <f t="shared" si="7"/>
        <v>0</v>
      </c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117">
        <v>46160.0</v>
      </c>
      <c r="B43" s="118">
        <v>1.0</v>
      </c>
      <c r="C43" s="111" t="str">
        <f>VLOOKUP(B43,Employees!A:B,2,FALSE)</f>
        <v>Rajat Hela</v>
      </c>
      <c r="D43" s="119">
        <v>0.3333333333333333</v>
      </c>
      <c r="E43" s="120">
        <v>0.5416666666666666</v>
      </c>
      <c r="F43" s="121">
        <v>0.5833333333333334</v>
      </c>
      <c r="G43" s="121">
        <v>0.8333333333333334</v>
      </c>
      <c r="H43" s="114">
        <f t="shared" si="12"/>
        <v>0.04166666667</v>
      </c>
      <c r="I43" s="114">
        <f t="shared" si="13"/>
        <v>0.5</v>
      </c>
      <c r="J43" s="115">
        <f t="shared" si="14"/>
        <v>0.4583333333</v>
      </c>
      <c r="K43" s="114">
        <f t="shared" si="15"/>
        <v>0</v>
      </c>
      <c r="L43" s="116">
        <f t="shared" si="6"/>
        <v>11</v>
      </c>
      <c r="M43" s="116">
        <f t="shared" si="7"/>
        <v>0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117"/>
      <c r="B44" s="118">
        <v>3.0</v>
      </c>
      <c r="C44" s="111" t="str">
        <f>VLOOKUP(B44,Employees!A:B,2,FALSE)</f>
        <v>Ranjan Kumar</v>
      </c>
      <c r="D44" s="121">
        <v>0.8333333333333334</v>
      </c>
      <c r="E44" s="120"/>
      <c r="F44" s="121"/>
      <c r="G44" s="121">
        <v>0.375</v>
      </c>
      <c r="H44" s="114">
        <f t="shared" si="12"/>
        <v>0</v>
      </c>
      <c r="I44" s="114">
        <f t="shared" si="13"/>
        <v>-0.4583333333</v>
      </c>
      <c r="J44" s="115">
        <f t="shared" si="14"/>
        <v>-0.4583333333</v>
      </c>
      <c r="K44" s="114">
        <f t="shared" si="15"/>
        <v>0.08333333333</v>
      </c>
      <c r="L44" s="116">
        <f t="shared" si="6"/>
        <v>11</v>
      </c>
      <c r="M44" s="116">
        <f t="shared" si="7"/>
        <v>2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117">
        <v>46161.0</v>
      </c>
      <c r="B45" s="118">
        <v>1.0</v>
      </c>
      <c r="C45" s="111" t="str">
        <f>VLOOKUP(B45,Employees!A:B,2,FALSE)</f>
        <v>Rajat Hela</v>
      </c>
      <c r="D45" s="119">
        <v>0.3333333333333333</v>
      </c>
      <c r="E45" s="120">
        <v>0.5416666666666666</v>
      </c>
      <c r="F45" s="121">
        <v>0.5833333333333334</v>
      </c>
      <c r="G45" s="121">
        <v>0.8333333333333334</v>
      </c>
      <c r="H45" s="114">
        <f t="shared" si="12"/>
        <v>0.04166666667</v>
      </c>
      <c r="I45" s="114">
        <f t="shared" si="13"/>
        <v>0.5</v>
      </c>
      <c r="J45" s="115">
        <f t="shared" si="14"/>
        <v>0.4583333333</v>
      </c>
      <c r="K45" s="114">
        <f t="shared" si="15"/>
        <v>0</v>
      </c>
      <c r="L45" s="116">
        <f t="shared" si="6"/>
        <v>11</v>
      </c>
      <c r="M45" s="116">
        <f t="shared" si="7"/>
        <v>0</v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117"/>
      <c r="B46" s="118">
        <v>3.0</v>
      </c>
      <c r="C46" s="111" t="str">
        <f>VLOOKUP(B46,Employees!A:B,2,FALSE)</f>
        <v>Ranjan Kumar</v>
      </c>
      <c r="D46" s="121">
        <v>0.8333333333333334</v>
      </c>
      <c r="E46" s="120"/>
      <c r="F46" s="121"/>
      <c r="G46" s="121">
        <v>0.3333333333333333</v>
      </c>
      <c r="H46" s="114">
        <f t="shared" si="12"/>
        <v>0</v>
      </c>
      <c r="I46" s="114">
        <f t="shared" si="13"/>
        <v>-0.5</v>
      </c>
      <c r="J46" s="115">
        <f t="shared" si="14"/>
        <v>-0.5</v>
      </c>
      <c r="K46" s="114">
        <f t="shared" si="15"/>
        <v>0.04166666667</v>
      </c>
      <c r="L46" s="116">
        <f t="shared" si="6"/>
        <v>11</v>
      </c>
      <c r="M46" s="116">
        <f t="shared" si="7"/>
        <v>1</v>
      </c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117">
        <v>46162.0</v>
      </c>
      <c r="B47" s="118">
        <v>1.0</v>
      </c>
      <c r="C47" s="111" t="str">
        <f>VLOOKUP(B47,Employees!A:B,2,FALSE)</f>
        <v>Rajat Hela</v>
      </c>
      <c r="D47" s="119">
        <v>0.3333333333333333</v>
      </c>
      <c r="E47" s="120"/>
      <c r="F47" s="121"/>
      <c r="G47" s="121">
        <v>0.5833333333333334</v>
      </c>
      <c r="H47" s="114">
        <f t="shared" si="12"/>
        <v>0</v>
      </c>
      <c r="I47" s="122">
        <v>0.25</v>
      </c>
      <c r="J47" s="123">
        <v>0.25</v>
      </c>
      <c r="K47" s="114">
        <f t="shared" si="15"/>
        <v>0</v>
      </c>
      <c r="L47" s="116">
        <f t="shared" si="6"/>
        <v>6</v>
      </c>
      <c r="M47" s="116">
        <f t="shared" si="7"/>
        <v>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117"/>
      <c r="B48" s="118">
        <v>3.0</v>
      </c>
      <c r="C48" s="111" t="str">
        <f>VLOOKUP(B48,Employees!A:B,2,FALSE)</f>
        <v>Ranjan Kumar</v>
      </c>
      <c r="D48" s="121">
        <v>0.5833333333333334</v>
      </c>
      <c r="E48" s="120"/>
      <c r="F48" s="121"/>
      <c r="G48" s="121">
        <v>0.8333333333333334</v>
      </c>
      <c r="H48" s="114">
        <f t="shared" si="12"/>
        <v>0</v>
      </c>
      <c r="I48" s="114">
        <f t="shared" ref="I48:I60" si="16">G48 - D48</f>
        <v>0.25</v>
      </c>
      <c r="J48" s="115">
        <f t="shared" ref="J48:J60" si="17">I48 - H48</f>
        <v>0.25</v>
      </c>
      <c r="K48" s="114">
        <f t="shared" si="15"/>
        <v>0</v>
      </c>
      <c r="L48" s="116">
        <f t="shared" si="6"/>
        <v>6</v>
      </c>
      <c r="M48" s="116">
        <f t="shared" si="7"/>
        <v>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117">
        <v>46163.0</v>
      </c>
      <c r="B49" s="118">
        <v>1.0</v>
      </c>
      <c r="C49" s="111" t="str">
        <f>VLOOKUP(B49,Employees!A:B,2,FALSE)</f>
        <v>Rajat Hela</v>
      </c>
      <c r="D49" s="119">
        <v>0.3333333333333333</v>
      </c>
      <c r="E49" s="120">
        <v>0.5416666666666666</v>
      </c>
      <c r="F49" s="121">
        <v>0.5833333333333334</v>
      </c>
      <c r="G49" s="121">
        <v>0.8333333333333334</v>
      </c>
      <c r="H49" s="114">
        <f t="shared" si="12"/>
        <v>0.04166666667</v>
      </c>
      <c r="I49" s="114">
        <f t="shared" si="16"/>
        <v>0.5</v>
      </c>
      <c r="J49" s="115">
        <f t="shared" si="17"/>
        <v>0.4583333333</v>
      </c>
      <c r="K49" s="114">
        <f t="shared" si="15"/>
        <v>0</v>
      </c>
      <c r="L49" s="116">
        <f t="shared" si="6"/>
        <v>11</v>
      </c>
      <c r="M49" s="116">
        <f t="shared" si="7"/>
        <v>0</v>
      </c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117"/>
      <c r="B50" s="118">
        <v>3.0</v>
      </c>
      <c r="C50" s="111" t="str">
        <f>VLOOKUP(B50,Employees!A:B,2,FALSE)</f>
        <v>Ranjan Kumar</v>
      </c>
      <c r="D50" s="121">
        <v>0.8333333333333334</v>
      </c>
      <c r="E50" s="120"/>
      <c r="F50" s="121"/>
      <c r="G50" s="121">
        <v>0.2916666666666667</v>
      </c>
      <c r="H50" s="114">
        <f t="shared" si="12"/>
        <v>0</v>
      </c>
      <c r="I50" s="114">
        <f t="shared" si="16"/>
        <v>-0.5416666667</v>
      </c>
      <c r="J50" s="115">
        <f t="shared" si="17"/>
        <v>-0.5416666667</v>
      </c>
      <c r="K50" s="114">
        <f t="shared" si="15"/>
        <v>0</v>
      </c>
      <c r="L50" s="116">
        <f t="shared" si="6"/>
        <v>11</v>
      </c>
      <c r="M50" s="116">
        <f t="shared" si="7"/>
        <v>0</v>
      </c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117">
        <v>46164.0</v>
      </c>
      <c r="B51" s="118">
        <v>1.0</v>
      </c>
      <c r="C51" s="111" t="str">
        <f>VLOOKUP(B51,Employees!A:B,2,FALSE)</f>
        <v>Rajat Hela</v>
      </c>
      <c r="D51" s="119">
        <v>0.3333333333333333</v>
      </c>
      <c r="E51" s="120">
        <v>0.5416666666666666</v>
      </c>
      <c r="F51" s="121">
        <v>0.5833333333333334</v>
      </c>
      <c r="G51" s="121">
        <v>0.8333333333333334</v>
      </c>
      <c r="H51" s="114">
        <f t="shared" si="12"/>
        <v>0.04166666667</v>
      </c>
      <c r="I51" s="114">
        <f t="shared" si="16"/>
        <v>0.5</v>
      </c>
      <c r="J51" s="115">
        <f t="shared" si="17"/>
        <v>0.4583333333</v>
      </c>
      <c r="K51" s="114">
        <f t="shared" si="15"/>
        <v>0</v>
      </c>
      <c r="L51" s="116">
        <f t="shared" si="6"/>
        <v>11</v>
      </c>
      <c r="M51" s="116">
        <f t="shared" si="7"/>
        <v>0</v>
      </c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117"/>
      <c r="B52" s="118">
        <v>3.0</v>
      </c>
      <c r="C52" s="111" t="str">
        <f>VLOOKUP(B52,Employees!A:B,2,FALSE)</f>
        <v>Ranjan Kumar</v>
      </c>
      <c r="D52" s="121">
        <v>0.8333333333333334</v>
      </c>
      <c r="E52" s="120"/>
      <c r="F52" s="121"/>
      <c r="G52" s="121">
        <v>0.2916666666666667</v>
      </c>
      <c r="H52" s="114">
        <f t="shared" si="12"/>
        <v>0</v>
      </c>
      <c r="I52" s="114">
        <f t="shared" si="16"/>
        <v>-0.5416666667</v>
      </c>
      <c r="J52" s="115">
        <f t="shared" si="17"/>
        <v>-0.5416666667</v>
      </c>
      <c r="K52" s="114">
        <f t="shared" si="15"/>
        <v>0</v>
      </c>
      <c r="L52" s="116">
        <f t="shared" si="6"/>
        <v>11</v>
      </c>
      <c r="M52" s="116">
        <f t="shared" si="7"/>
        <v>0</v>
      </c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117">
        <v>46165.0</v>
      </c>
      <c r="B53" s="118">
        <v>1.0</v>
      </c>
      <c r="C53" s="111" t="str">
        <f>VLOOKUP(B53,Employees!A:B,2,FALSE)</f>
        <v>Rajat Hela</v>
      </c>
      <c r="D53" s="119">
        <v>0.3333333333333333</v>
      </c>
      <c r="E53" s="120">
        <v>0.5416666666666666</v>
      </c>
      <c r="F53" s="121">
        <v>0.5833333333333334</v>
      </c>
      <c r="G53" s="121">
        <v>0.8333333333333334</v>
      </c>
      <c r="H53" s="114">
        <f t="shared" si="12"/>
        <v>0.04166666667</v>
      </c>
      <c r="I53" s="114">
        <f t="shared" si="16"/>
        <v>0.5</v>
      </c>
      <c r="J53" s="115">
        <f t="shared" si="17"/>
        <v>0.4583333333</v>
      </c>
      <c r="K53" s="114">
        <f t="shared" si="15"/>
        <v>0</v>
      </c>
      <c r="L53" s="126">
        <f t="shared" si="6"/>
        <v>11</v>
      </c>
      <c r="M53" s="126">
        <f t="shared" si="7"/>
        <v>0</v>
      </c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117"/>
      <c r="B54" s="118">
        <v>3.0</v>
      </c>
      <c r="C54" s="111" t="str">
        <f>VLOOKUP(B54,Employees!A:B,2,FALSE)</f>
        <v>Ranjan Kumar</v>
      </c>
      <c r="D54" s="121">
        <v>0.8333333333333334</v>
      </c>
      <c r="E54" s="120"/>
      <c r="F54" s="121"/>
      <c r="G54" s="121">
        <v>0.9583333333333334</v>
      </c>
      <c r="H54" s="114">
        <f t="shared" si="12"/>
        <v>0</v>
      </c>
      <c r="I54" s="114">
        <f t="shared" si="16"/>
        <v>0.125</v>
      </c>
      <c r="J54" s="115">
        <f t="shared" si="17"/>
        <v>0.125</v>
      </c>
      <c r="K54" s="114">
        <f t="shared" si="15"/>
        <v>0</v>
      </c>
      <c r="L54" s="126">
        <f t="shared" si="6"/>
        <v>3</v>
      </c>
      <c r="M54" s="126">
        <f t="shared" si="7"/>
        <v>0</v>
      </c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117">
        <v>46166.0</v>
      </c>
      <c r="B55" s="118">
        <v>1.0</v>
      </c>
      <c r="C55" s="111" t="str">
        <f>VLOOKUP(B55,Employees!A:B,2,FALSE)</f>
        <v>Rajat Hela</v>
      </c>
      <c r="D55" s="119">
        <v>0.3333333333333333</v>
      </c>
      <c r="E55" s="120">
        <v>0.5416666666666666</v>
      </c>
      <c r="F55" s="121">
        <v>0.5833333333333334</v>
      </c>
      <c r="G55" s="121">
        <v>0.8333333333333334</v>
      </c>
      <c r="H55" s="114">
        <f t="shared" si="12"/>
        <v>0.04166666667</v>
      </c>
      <c r="I55" s="114">
        <f t="shared" si="16"/>
        <v>0.5</v>
      </c>
      <c r="J55" s="115">
        <f t="shared" si="17"/>
        <v>0.4583333333</v>
      </c>
      <c r="K55" s="114">
        <f t="shared" si="15"/>
        <v>0</v>
      </c>
      <c r="L55" s="126">
        <f t="shared" si="6"/>
        <v>11</v>
      </c>
      <c r="M55" s="126">
        <f t="shared" si="7"/>
        <v>0</v>
      </c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117"/>
      <c r="B56" s="118">
        <v>3.0</v>
      </c>
      <c r="C56" s="111" t="str">
        <f>VLOOKUP(B56,Employees!A:B,2,FALSE)</f>
        <v>Ranjan Kumar</v>
      </c>
      <c r="D56" s="121">
        <v>0.8333333333333334</v>
      </c>
      <c r="E56" s="120"/>
      <c r="F56" s="121"/>
      <c r="G56" s="121">
        <v>0.2916666666666667</v>
      </c>
      <c r="H56" s="114">
        <f t="shared" si="12"/>
        <v>0</v>
      </c>
      <c r="I56" s="114">
        <f t="shared" si="16"/>
        <v>-0.5416666667</v>
      </c>
      <c r="J56" s="115">
        <f t="shared" si="17"/>
        <v>-0.5416666667</v>
      </c>
      <c r="K56" s="114">
        <f t="shared" si="15"/>
        <v>0</v>
      </c>
      <c r="L56" s="126">
        <f t="shared" si="6"/>
        <v>11</v>
      </c>
      <c r="M56" s="126">
        <f t="shared" si="7"/>
        <v>0</v>
      </c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117">
        <v>46167.0</v>
      </c>
      <c r="B57" s="118">
        <v>1.0</v>
      </c>
      <c r="C57" s="111" t="str">
        <f>VLOOKUP(B57,Employees!A:B,2,FALSE)</f>
        <v>Rajat Hela</v>
      </c>
      <c r="D57" s="119">
        <v>0.3333333333333333</v>
      </c>
      <c r="E57" s="120">
        <v>0.5416666666666666</v>
      </c>
      <c r="F57" s="121">
        <v>0.5833333333333334</v>
      </c>
      <c r="G57" s="121">
        <v>0.8333333333333334</v>
      </c>
      <c r="H57" s="114">
        <f t="shared" si="12"/>
        <v>0.04166666667</v>
      </c>
      <c r="I57" s="114">
        <f t="shared" si="16"/>
        <v>0.5</v>
      </c>
      <c r="J57" s="115">
        <f t="shared" si="17"/>
        <v>0.4583333333</v>
      </c>
      <c r="K57" s="114">
        <f t="shared" si="15"/>
        <v>0</v>
      </c>
      <c r="L57" s="126">
        <f t="shared" si="6"/>
        <v>11</v>
      </c>
      <c r="M57" s="126">
        <f t="shared" si="7"/>
        <v>0</v>
      </c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117"/>
      <c r="B58" s="118">
        <v>3.0</v>
      </c>
      <c r="C58" s="111" t="str">
        <f>VLOOKUP(B58,Employees!A:B,2,FALSE)</f>
        <v>Ranjan Kumar</v>
      </c>
      <c r="D58" s="121">
        <v>0.8333333333333334</v>
      </c>
      <c r="E58" s="120"/>
      <c r="F58" s="121"/>
      <c r="G58" s="121">
        <v>0.2916666666666667</v>
      </c>
      <c r="H58" s="114">
        <f t="shared" si="12"/>
        <v>0</v>
      </c>
      <c r="I58" s="114">
        <f t="shared" si="16"/>
        <v>-0.5416666667</v>
      </c>
      <c r="J58" s="115">
        <f t="shared" si="17"/>
        <v>-0.5416666667</v>
      </c>
      <c r="K58" s="114">
        <f t="shared" si="15"/>
        <v>0</v>
      </c>
      <c r="L58" s="126">
        <f t="shared" si="6"/>
        <v>11</v>
      </c>
      <c r="M58" s="126">
        <f t="shared" si="7"/>
        <v>0</v>
      </c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117">
        <v>46168.0</v>
      </c>
      <c r="B59" s="118">
        <v>1.0</v>
      </c>
      <c r="C59" s="111" t="str">
        <f>VLOOKUP(B59,Employees!A:B,2,FALSE)</f>
        <v>Rajat Hela</v>
      </c>
      <c r="D59" s="119">
        <v>0.3333333333333333</v>
      </c>
      <c r="E59" s="120">
        <v>0.5416666666666666</v>
      </c>
      <c r="F59" s="121">
        <v>0.5833333333333334</v>
      </c>
      <c r="G59" s="121">
        <v>0.8333333333333334</v>
      </c>
      <c r="H59" s="114">
        <f t="shared" si="12"/>
        <v>0.04166666667</v>
      </c>
      <c r="I59" s="114">
        <f t="shared" si="16"/>
        <v>0.5</v>
      </c>
      <c r="J59" s="115">
        <f t="shared" si="17"/>
        <v>0.4583333333</v>
      </c>
      <c r="K59" s="114">
        <f t="shared" si="15"/>
        <v>0</v>
      </c>
      <c r="L59" s="126">
        <f t="shared" si="6"/>
        <v>11</v>
      </c>
      <c r="M59" s="126">
        <f t="shared" si="7"/>
        <v>0</v>
      </c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117"/>
      <c r="B60" s="118">
        <v>3.0</v>
      </c>
      <c r="C60" s="111" t="str">
        <f>VLOOKUP(B60,Employees!A:B,2,FALSE)</f>
        <v>Ranjan Kumar</v>
      </c>
      <c r="D60" s="121">
        <v>0.8333333333333334</v>
      </c>
      <c r="E60" s="120"/>
      <c r="F60" s="121"/>
      <c r="G60" s="121">
        <v>0.3333333333333333</v>
      </c>
      <c r="H60" s="114">
        <f t="shared" si="12"/>
        <v>0</v>
      </c>
      <c r="I60" s="114">
        <f t="shared" si="16"/>
        <v>-0.5</v>
      </c>
      <c r="J60" s="115">
        <f t="shared" si="17"/>
        <v>-0.5</v>
      </c>
      <c r="K60" s="114">
        <f t="shared" si="15"/>
        <v>0.04166666667</v>
      </c>
      <c r="L60" s="126">
        <f t="shared" si="6"/>
        <v>11</v>
      </c>
      <c r="M60" s="126">
        <f t="shared" si="7"/>
        <v>1</v>
      </c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117">
        <v>46169.0</v>
      </c>
      <c r="B61" s="118"/>
      <c r="C61" s="111"/>
      <c r="D61" s="119"/>
      <c r="E61" s="120"/>
      <c r="F61" s="121"/>
      <c r="G61" s="118" t="s">
        <v>48</v>
      </c>
      <c r="H61" s="114"/>
      <c r="I61" s="114"/>
      <c r="J61" s="115"/>
      <c r="K61" s="114"/>
      <c r="L61" s="126" t="str">
        <f t="shared" si="6"/>
        <v/>
      </c>
      <c r="M61" s="126" t="str">
        <f t="shared" si="7"/>
        <v/>
      </c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117">
        <v>46170.0</v>
      </c>
      <c r="B62" s="118">
        <v>1.0</v>
      </c>
      <c r="C62" s="111" t="str">
        <f>VLOOKUP(B62,Employees!A:B,2,FALSE)</f>
        <v>Rajat Hela</v>
      </c>
      <c r="D62" s="119">
        <v>0.3333333333333333</v>
      </c>
      <c r="E62" s="120">
        <v>0.5625</v>
      </c>
      <c r="F62" s="121">
        <v>0.6041666666666666</v>
      </c>
      <c r="G62" s="121">
        <v>0.8333333333333334</v>
      </c>
      <c r="H62" s="114">
        <f t="shared" ref="H62:H69" si="18">F62 - E62</f>
        <v>0.04166666667</v>
      </c>
      <c r="I62" s="114">
        <f t="shared" ref="I62:I69" si="19">G62 - D62</f>
        <v>0.5</v>
      </c>
      <c r="J62" s="115">
        <f t="shared" ref="J62:J69" si="20">I62 - H62</f>
        <v>0.4583333333</v>
      </c>
      <c r="K62" s="114">
        <f t="shared" ref="K62:K69" si="21">MAX(
  0,
  MOD(
    IFERROR(
      J62,
      TIMEVALUE(SUBSTITUTE(J62,CHAR(160),""))
    ),
    1
  ) - TIME(11,0,0)
)
</f>
        <v>0</v>
      </c>
      <c r="L62" s="126">
        <f t="shared" si="6"/>
        <v>11</v>
      </c>
      <c r="M62" s="126">
        <f t="shared" si="7"/>
        <v>0</v>
      </c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117"/>
      <c r="B63" s="118">
        <v>3.0</v>
      </c>
      <c r="C63" s="111" t="str">
        <f>VLOOKUP(B63,Employees!A:B,2,FALSE)</f>
        <v>Ranjan Kumar</v>
      </c>
      <c r="D63" s="121">
        <v>0.8333333333333334</v>
      </c>
      <c r="E63" s="120"/>
      <c r="F63" s="121"/>
      <c r="G63" s="121">
        <v>0.9375</v>
      </c>
      <c r="H63" s="114">
        <f t="shared" si="18"/>
        <v>0</v>
      </c>
      <c r="I63" s="114">
        <f t="shared" si="19"/>
        <v>0.1041666667</v>
      </c>
      <c r="J63" s="115">
        <f t="shared" si="20"/>
        <v>0.1041666667</v>
      </c>
      <c r="K63" s="114">
        <f t="shared" si="21"/>
        <v>0</v>
      </c>
      <c r="L63" s="126">
        <f t="shared" si="6"/>
        <v>2.3</v>
      </c>
      <c r="M63" s="126">
        <f t="shared" si="7"/>
        <v>0</v>
      </c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117">
        <v>46171.0</v>
      </c>
      <c r="B64" s="118">
        <v>1.0</v>
      </c>
      <c r="C64" s="111" t="str">
        <f>VLOOKUP(B64,Employees!A:B,2,FALSE)</f>
        <v>Rajat Hela</v>
      </c>
      <c r="D64" s="119">
        <v>0.3333333333333333</v>
      </c>
      <c r="E64" s="120">
        <v>0.5416666666666666</v>
      </c>
      <c r="F64" s="121">
        <v>0.5833333333333334</v>
      </c>
      <c r="G64" s="121">
        <v>0.8333333333333334</v>
      </c>
      <c r="H64" s="114">
        <f t="shared" si="18"/>
        <v>0.04166666667</v>
      </c>
      <c r="I64" s="114">
        <f t="shared" si="19"/>
        <v>0.5</v>
      </c>
      <c r="J64" s="115">
        <f t="shared" si="20"/>
        <v>0.4583333333</v>
      </c>
      <c r="K64" s="114">
        <f t="shared" si="21"/>
        <v>0</v>
      </c>
      <c r="L64" s="126">
        <f t="shared" si="6"/>
        <v>11</v>
      </c>
      <c r="M64" s="126">
        <f t="shared" si="7"/>
        <v>0</v>
      </c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117"/>
      <c r="B65" s="118">
        <v>3.0</v>
      </c>
      <c r="C65" s="111" t="str">
        <f>VLOOKUP(B65,Employees!A:B,2,FALSE)</f>
        <v>Ranjan Kumar</v>
      </c>
      <c r="D65" s="121">
        <v>0.8333333333333334</v>
      </c>
      <c r="E65" s="120"/>
      <c r="F65" s="121"/>
      <c r="G65" s="121">
        <v>0.2916666666666667</v>
      </c>
      <c r="H65" s="114">
        <f t="shared" si="18"/>
        <v>0</v>
      </c>
      <c r="I65" s="114">
        <f t="shared" si="19"/>
        <v>-0.5416666667</v>
      </c>
      <c r="J65" s="115">
        <f t="shared" si="20"/>
        <v>-0.5416666667</v>
      </c>
      <c r="K65" s="114">
        <f t="shared" si="21"/>
        <v>0</v>
      </c>
      <c r="L65" s="126">
        <f t="shared" si="6"/>
        <v>11</v>
      </c>
      <c r="M65" s="126">
        <f t="shared" si="7"/>
        <v>0</v>
      </c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117">
        <v>46172.0</v>
      </c>
      <c r="B66" s="118">
        <v>1.0</v>
      </c>
      <c r="C66" s="111" t="str">
        <f>VLOOKUP(B66,Employees!A:B,2,FALSE)</f>
        <v>Rajat Hela</v>
      </c>
      <c r="D66" s="119">
        <v>0.3333333333333333</v>
      </c>
      <c r="E66" s="120">
        <v>0.5416666666666666</v>
      </c>
      <c r="F66" s="121">
        <v>0.5833333333333334</v>
      </c>
      <c r="G66" s="121">
        <v>0.7083333333333334</v>
      </c>
      <c r="H66" s="114">
        <f t="shared" si="18"/>
        <v>0.04166666667</v>
      </c>
      <c r="I66" s="114">
        <f t="shared" si="19"/>
        <v>0.375</v>
      </c>
      <c r="J66" s="115">
        <f t="shared" si="20"/>
        <v>0.3333333333</v>
      </c>
      <c r="K66" s="114">
        <f t="shared" si="21"/>
        <v>0</v>
      </c>
      <c r="L66" s="126">
        <f t="shared" si="6"/>
        <v>8</v>
      </c>
      <c r="M66" s="126">
        <f t="shared" si="7"/>
        <v>0</v>
      </c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117"/>
      <c r="B67" s="118">
        <v>3.0</v>
      </c>
      <c r="C67" s="111" t="str">
        <f>VLOOKUP(B67,Employees!A:B,2,FALSE)</f>
        <v>Ranjan Kumar</v>
      </c>
      <c r="D67" s="121">
        <v>0.7083333333333334</v>
      </c>
      <c r="E67" s="120"/>
      <c r="F67" s="121"/>
      <c r="G67" s="121">
        <v>0.041666666666666664</v>
      </c>
      <c r="H67" s="114">
        <f t="shared" si="18"/>
        <v>0</v>
      </c>
      <c r="I67" s="114">
        <f t="shared" si="19"/>
        <v>-0.6666666667</v>
      </c>
      <c r="J67" s="115">
        <f t="shared" si="20"/>
        <v>-0.6666666667</v>
      </c>
      <c r="K67" s="114">
        <f t="shared" si="21"/>
        <v>0</v>
      </c>
      <c r="L67" s="126">
        <f t="shared" si="6"/>
        <v>8</v>
      </c>
      <c r="M67" s="126">
        <f t="shared" si="7"/>
        <v>0</v>
      </c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117">
        <v>46173.0</v>
      </c>
      <c r="B68" s="118">
        <v>1.0</v>
      </c>
      <c r="C68" s="111" t="str">
        <f>VLOOKUP(B68,Employees!A:B,2,FALSE)</f>
        <v>Rajat Hela</v>
      </c>
      <c r="D68" s="119">
        <v>0.3333333333333333</v>
      </c>
      <c r="E68" s="120">
        <v>0.5416666666666666</v>
      </c>
      <c r="F68" s="121">
        <v>0.5833333333333334</v>
      </c>
      <c r="G68" s="121">
        <v>0.8333333333333334</v>
      </c>
      <c r="H68" s="114">
        <f t="shared" si="18"/>
        <v>0.04166666667</v>
      </c>
      <c r="I68" s="114">
        <f t="shared" si="19"/>
        <v>0.5</v>
      </c>
      <c r="J68" s="115">
        <f t="shared" si="20"/>
        <v>0.4583333333</v>
      </c>
      <c r="K68" s="114">
        <f t="shared" si="21"/>
        <v>0</v>
      </c>
      <c r="L68" s="126">
        <f t="shared" si="6"/>
        <v>11</v>
      </c>
      <c r="M68" s="126">
        <f t="shared" si="7"/>
        <v>0</v>
      </c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117"/>
      <c r="B69" s="118">
        <v>3.0</v>
      </c>
      <c r="C69" s="111" t="str">
        <f>VLOOKUP(B69,Employees!A:B,2,FALSE)</f>
        <v>Ranjan Kumar</v>
      </c>
      <c r="D69" s="121">
        <v>0.8333333333333334</v>
      </c>
      <c r="E69" s="120"/>
      <c r="F69" s="121"/>
      <c r="G69" s="121">
        <v>0.2916666666666667</v>
      </c>
      <c r="H69" s="114">
        <f t="shared" si="18"/>
        <v>0</v>
      </c>
      <c r="I69" s="114">
        <f t="shared" si="19"/>
        <v>-0.5416666667</v>
      </c>
      <c r="J69" s="115">
        <f t="shared" si="20"/>
        <v>-0.5416666667</v>
      </c>
      <c r="K69" s="114">
        <f t="shared" si="21"/>
        <v>0</v>
      </c>
      <c r="L69" s="126">
        <f t="shared" si="6"/>
        <v>11</v>
      </c>
      <c r="M69" s="126">
        <f t="shared" si="7"/>
        <v>0</v>
      </c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6"/>
      <c r="J70" s="63"/>
      <c r="K70" s="63"/>
      <c r="L70" s="63"/>
      <c r="M70" s="64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6"/>
      <c r="J71" s="63"/>
      <c r="K71" s="63"/>
      <c r="L71" s="63"/>
      <c r="M71" s="64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6"/>
      <c r="J72" s="63"/>
      <c r="K72" s="63"/>
      <c r="L72" s="63"/>
      <c r="M72" s="64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6"/>
      <c r="J73" s="63"/>
      <c r="K73" s="63"/>
      <c r="L73" s="63"/>
      <c r="M73" s="64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6"/>
      <c r="J74" s="63"/>
      <c r="K74" s="63"/>
      <c r="L74" s="63"/>
      <c r="M74" s="64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6"/>
      <c r="J75" s="63"/>
      <c r="K75" s="63"/>
      <c r="L75" s="63"/>
      <c r="M75" s="64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6"/>
      <c r="J76" s="63"/>
      <c r="K76" s="63"/>
      <c r="L76" s="63"/>
      <c r="M76" s="64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6"/>
      <c r="J77" s="63"/>
      <c r="K77" s="63"/>
      <c r="L77" s="63"/>
      <c r="M77" s="64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6"/>
      <c r="J78" s="63"/>
      <c r="K78" s="63"/>
      <c r="L78" s="63"/>
      <c r="M78" s="64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6"/>
      <c r="J79" s="63"/>
      <c r="K79" s="63"/>
      <c r="L79" s="63"/>
      <c r="M79" s="64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6"/>
      <c r="J80" s="63"/>
      <c r="K80" s="63"/>
      <c r="L80" s="63"/>
      <c r="M80" s="64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6"/>
      <c r="J81" s="63"/>
      <c r="K81" s="63"/>
      <c r="L81" s="63"/>
      <c r="M81" s="64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6"/>
      <c r="J82" s="63"/>
      <c r="K82" s="63"/>
      <c r="L82" s="63"/>
      <c r="M82" s="64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6"/>
      <c r="J83" s="63"/>
      <c r="K83" s="63"/>
      <c r="L83" s="63"/>
      <c r="M83" s="64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6"/>
      <c r="J84" s="63"/>
      <c r="K84" s="63"/>
      <c r="L84" s="63"/>
      <c r="M84" s="64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6"/>
      <c r="J85" s="63"/>
      <c r="K85" s="63"/>
      <c r="L85" s="63"/>
      <c r="M85" s="64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6"/>
      <c r="J86" s="63"/>
      <c r="K86" s="63"/>
      <c r="L86" s="63"/>
      <c r="M86" s="64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6"/>
      <c r="J87" s="63"/>
      <c r="K87" s="63"/>
      <c r="L87" s="63"/>
      <c r="M87" s="64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6"/>
      <c r="J88" s="63"/>
      <c r="K88" s="63"/>
      <c r="L88" s="63"/>
      <c r="M88" s="64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6"/>
      <c r="J89" s="63"/>
      <c r="K89" s="63"/>
      <c r="L89" s="63"/>
      <c r="M89" s="64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6"/>
      <c r="J90" s="63"/>
      <c r="K90" s="63"/>
      <c r="L90" s="63"/>
      <c r="M90" s="64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6"/>
      <c r="J91" s="63"/>
      <c r="K91" s="63"/>
      <c r="L91" s="63"/>
      <c r="M91" s="64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6"/>
      <c r="J92" s="63"/>
      <c r="K92" s="63"/>
      <c r="L92" s="63"/>
      <c r="M92" s="64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6"/>
      <c r="J93" s="63"/>
      <c r="K93" s="63"/>
      <c r="L93" s="63"/>
      <c r="M93" s="64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6"/>
      <c r="J94" s="63"/>
      <c r="K94" s="63"/>
      <c r="L94" s="63"/>
      <c r="M94" s="64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6"/>
      <c r="J95" s="63"/>
      <c r="K95" s="63"/>
      <c r="L95" s="63"/>
      <c r="M95" s="64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6"/>
      <c r="J96" s="63"/>
      <c r="K96" s="63"/>
      <c r="L96" s="63"/>
      <c r="M96" s="64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6"/>
      <c r="J97" s="63"/>
      <c r="K97" s="63"/>
      <c r="L97" s="63"/>
      <c r="M97" s="64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6"/>
      <c r="J98" s="63"/>
      <c r="K98" s="63"/>
      <c r="L98" s="63"/>
      <c r="M98" s="64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6"/>
      <c r="J99" s="63"/>
      <c r="K99" s="63"/>
      <c r="L99" s="63"/>
      <c r="M99" s="64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6"/>
      <c r="J100" s="63"/>
      <c r="K100" s="63"/>
      <c r="L100" s="63"/>
      <c r="M100" s="64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6"/>
      <c r="J101" s="63"/>
      <c r="K101" s="63"/>
      <c r="L101" s="63"/>
      <c r="M101" s="64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6"/>
      <c r="J102" s="63"/>
      <c r="K102" s="63"/>
      <c r="L102" s="63"/>
      <c r="M102" s="64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6"/>
      <c r="J103" s="63"/>
      <c r="K103" s="63"/>
      <c r="L103" s="63"/>
      <c r="M103" s="64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6"/>
      <c r="J104" s="63"/>
      <c r="K104" s="63"/>
      <c r="L104" s="63"/>
      <c r="M104" s="64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6"/>
      <c r="J105" s="63"/>
      <c r="K105" s="63"/>
      <c r="L105" s="63"/>
      <c r="M105" s="64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6"/>
      <c r="J106" s="63"/>
      <c r="K106" s="63"/>
      <c r="L106" s="63"/>
      <c r="M106" s="64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6"/>
      <c r="J107" s="63"/>
      <c r="K107" s="63"/>
      <c r="L107" s="63"/>
      <c r="M107" s="64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6"/>
      <c r="J108" s="63"/>
      <c r="K108" s="63"/>
      <c r="L108" s="63"/>
      <c r="M108" s="64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6"/>
      <c r="J109" s="63"/>
      <c r="K109" s="63"/>
      <c r="L109" s="63"/>
      <c r="M109" s="64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6"/>
      <c r="J110" s="63"/>
      <c r="K110" s="63"/>
      <c r="L110" s="63"/>
      <c r="M110" s="64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6"/>
      <c r="J111" s="63"/>
      <c r="K111" s="63"/>
      <c r="L111" s="63"/>
      <c r="M111" s="64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6"/>
      <c r="J112" s="63"/>
      <c r="K112" s="63"/>
      <c r="L112" s="63"/>
      <c r="M112" s="64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6"/>
      <c r="J113" s="63"/>
      <c r="K113" s="63"/>
      <c r="L113" s="63"/>
      <c r="M113" s="64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6"/>
      <c r="J114" s="63"/>
      <c r="K114" s="63"/>
      <c r="L114" s="63"/>
      <c r="M114" s="64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6"/>
      <c r="J115" s="63"/>
      <c r="K115" s="63"/>
      <c r="L115" s="63"/>
      <c r="M115" s="64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6"/>
      <c r="J116" s="63"/>
      <c r="K116" s="63"/>
      <c r="L116" s="63"/>
      <c r="M116" s="64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6"/>
      <c r="J117" s="63"/>
      <c r="K117" s="63"/>
      <c r="L117" s="63"/>
      <c r="M117" s="64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6"/>
      <c r="J118" s="63"/>
      <c r="K118" s="63"/>
      <c r="L118" s="63"/>
      <c r="M118" s="64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6"/>
      <c r="J119" s="63"/>
      <c r="K119" s="63"/>
      <c r="L119" s="63"/>
      <c r="M119" s="64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6"/>
      <c r="J120" s="63"/>
      <c r="K120" s="63"/>
      <c r="L120" s="63"/>
      <c r="M120" s="64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6"/>
      <c r="J121" s="63"/>
      <c r="K121" s="63"/>
      <c r="L121" s="63"/>
      <c r="M121" s="64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6"/>
      <c r="J122" s="63"/>
      <c r="K122" s="63"/>
      <c r="L122" s="63"/>
      <c r="M122" s="64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6"/>
      <c r="J123" s="63"/>
      <c r="K123" s="63"/>
      <c r="L123" s="63"/>
      <c r="M123" s="64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6"/>
      <c r="J124" s="63"/>
      <c r="K124" s="63"/>
      <c r="L124" s="63"/>
      <c r="M124" s="64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6"/>
      <c r="J125" s="63"/>
      <c r="K125" s="63"/>
      <c r="L125" s="63"/>
      <c r="M125" s="64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6"/>
      <c r="J126" s="63"/>
      <c r="K126" s="63"/>
      <c r="L126" s="63"/>
      <c r="M126" s="64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6"/>
      <c r="J127" s="63"/>
      <c r="K127" s="63"/>
      <c r="L127" s="63"/>
      <c r="M127" s="64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6"/>
      <c r="J128" s="63"/>
      <c r="K128" s="63"/>
      <c r="L128" s="63"/>
      <c r="M128" s="64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6"/>
      <c r="J129" s="63"/>
      <c r="K129" s="63"/>
      <c r="L129" s="63"/>
      <c r="M129" s="64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6"/>
      <c r="J130" s="63"/>
      <c r="K130" s="63"/>
      <c r="L130" s="63"/>
      <c r="M130" s="64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6"/>
      <c r="J131" s="63"/>
      <c r="K131" s="63"/>
      <c r="L131" s="63"/>
      <c r="M131" s="64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6"/>
      <c r="J132" s="63"/>
      <c r="K132" s="63"/>
      <c r="L132" s="63"/>
      <c r="M132" s="64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6"/>
      <c r="J133" s="63"/>
      <c r="K133" s="63"/>
      <c r="L133" s="63"/>
      <c r="M133" s="64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6"/>
      <c r="J134" s="63"/>
      <c r="K134" s="63"/>
      <c r="L134" s="63"/>
      <c r="M134" s="64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6"/>
      <c r="J135" s="63"/>
      <c r="K135" s="63"/>
      <c r="L135" s="63"/>
      <c r="M135" s="64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6"/>
      <c r="J136" s="63"/>
      <c r="K136" s="63"/>
      <c r="L136" s="63"/>
      <c r="M136" s="64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6"/>
      <c r="J137" s="63"/>
      <c r="K137" s="63"/>
      <c r="L137" s="63"/>
      <c r="M137" s="64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6"/>
      <c r="J138" s="63"/>
      <c r="K138" s="63"/>
      <c r="L138" s="63"/>
      <c r="M138" s="64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6"/>
      <c r="J139" s="63"/>
      <c r="K139" s="63"/>
      <c r="L139" s="63"/>
      <c r="M139" s="64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6"/>
      <c r="J140" s="63"/>
      <c r="K140" s="63"/>
      <c r="L140" s="63"/>
      <c r="M140" s="64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6"/>
      <c r="J141" s="63"/>
      <c r="K141" s="63"/>
      <c r="L141" s="63"/>
      <c r="M141" s="64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6"/>
      <c r="J142" s="63"/>
      <c r="K142" s="63"/>
      <c r="L142" s="63"/>
      <c r="M142" s="64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6"/>
      <c r="J143" s="63"/>
      <c r="K143" s="63"/>
      <c r="L143" s="63"/>
      <c r="M143" s="64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6"/>
      <c r="J144" s="63"/>
      <c r="K144" s="63"/>
      <c r="L144" s="63"/>
      <c r="M144" s="64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6"/>
      <c r="J145" s="63"/>
      <c r="K145" s="63"/>
      <c r="L145" s="63"/>
      <c r="M145" s="64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6"/>
      <c r="J146" s="63"/>
      <c r="K146" s="63"/>
      <c r="L146" s="63"/>
      <c r="M146" s="64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6"/>
      <c r="J147" s="63"/>
      <c r="K147" s="63"/>
      <c r="L147" s="63"/>
      <c r="M147" s="64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6"/>
      <c r="J148" s="63"/>
      <c r="K148" s="63"/>
      <c r="L148" s="63"/>
      <c r="M148" s="64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6"/>
      <c r="J149" s="63"/>
      <c r="K149" s="63"/>
      <c r="L149" s="63"/>
      <c r="M149" s="64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6"/>
      <c r="J150" s="63"/>
      <c r="K150" s="63"/>
      <c r="L150" s="63"/>
      <c r="M150" s="64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6"/>
      <c r="J151" s="63"/>
      <c r="K151" s="63"/>
      <c r="L151" s="63"/>
      <c r="M151" s="64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6"/>
      <c r="J152" s="63"/>
      <c r="K152" s="63"/>
      <c r="L152" s="63"/>
      <c r="M152" s="64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6"/>
      <c r="J153" s="63"/>
      <c r="K153" s="63"/>
      <c r="L153" s="63"/>
      <c r="M153" s="64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6"/>
      <c r="J154" s="63"/>
      <c r="K154" s="63"/>
      <c r="L154" s="63"/>
      <c r="M154" s="64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6"/>
      <c r="J155" s="63"/>
      <c r="K155" s="63"/>
      <c r="L155" s="63"/>
      <c r="M155" s="64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6"/>
      <c r="J156" s="63"/>
      <c r="K156" s="63"/>
      <c r="L156" s="63"/>
      <c r="M156" s="64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6"/>
      <c r="J157" s="63"/>
      <c r="K157" s="63"/>
      <c r="L157" s="63"/>
      <c r="M157" s="64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6"/>
      <c r="J158" s="63"/>
      <c r="K158" s="63"/>
      <c r="L158" s="63"/>
      <c r="M158" s="64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6"/>
      <c r="J159" s="63"/>
      <c r="K159" s="63"/>
      <c r="L159" s="63"/>
      <c r="M159" s="64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6"/>
      <c r="J160" s="63"/>
      <c r="K160" s="63"/>
      <c r="L160" s="63"/>
      <c r="M160" s="64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6"/>
      <c r="J161" s="63"/>
      <c r="K161" s="63"/>
      <c r="L161" s="63"/>
      <c r="M161" s="64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6"/>
      <c r="J162" s="63"/>
      <c r="K162" s="63"/>
      <c r="L162" s="63"/>
      <c r="M162" s="64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6"/>
      <c r="J163" s="63"/>
      <c r="K163" s="63"/>
      <c r="L163" s="63"/>
      <c r="M163" s="64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6"/>
      <c r="J164" s="63"/>
      <c r="K164" s="63"/>
      <c r="L164" s="63"/>
      <c r="M164" s="64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6"/>
      <c r="J165" s="63"/>
      <c r="K165" s="63"/>
      <c r="L165" s="63"/>
      <c r="M165" s="64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6"/>
      <c r="J166" s="63"/>
      <c r="K166" s="63"/>
      <c r="L166" s="63"/>
      <c r="M166" s="64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6"/>
      <c r="J167" s="63"/>
      <c r="K167" s="63"/>
      <c r="L167" s="63"/>
      <c r="M167" s="64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6"/>
      <c r="J168" s="63"/>
      <c r="K168" s="63"/>
      <c r="L168" s="63"/>
      <c r="M168" s="64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6"/>
      <c r="J169" s="63"/>
      <c r="K169" s="63"/>
      <c r="L169" s="63"/>
      <c r="M169" s="64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6"/>
      <c r="J170" s="63"/>
      <c r="K170" s="63"/>
      <c r="L170" s="63"/>
      <c r="M170" s="64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6"/>
      <c r="J171" s="63"/>
      <c r="K171" s="63"/>
      <c r="L171" s="63"/>
      <c r="M171" s="64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6"/>
      <c r="J172" s="63"/>
      <c r="K172" s="63"/>
      <c r="L172" s="63"/>
      <c r="M172" s="64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6"/>
      <c r="J173" s="63"/>
      <c r="K173" s="63"/>
      <c r="L173" s="63"/>
      <c r="M173" s="64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6"/>
      <c r="J174" s="63"/>
      <c r="K174" s="63"/>
      <c r="L174" s="63"/>
      <c r="M174" s="64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6"/>
      <c r="J175" s="63"/>
      <c r="K175" s="63"/>
      <c r="L175" s="63"/>
      <c r="M175" s="64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6"/>
      <c r="J176" s="63"/>
      <c r="K176" s="63"/>
      <c r="L176" s="63"/>
      <c r="M176" s="64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6"/>
      <c r="J177" s="63"/>
      <c r="K177" s="63"/>
      <c r="L177" s="63"/>
      <c r="M177" s="64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6"/>
      <c r="J178" s="63"/>
      <c r="K178" s="63"/>
      <c r="L178" s="63"/>
      <c r="M178" s="64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6"/>
      <c r="J179" s="63"/>
      <c r="K179" s="63"/>
      <c r="L179" s="63"/>
      <c r="M179" s="64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6"/>
      <c r="J180" s="63"/>
      <c r="K180" s="63"/>
      <c r="L180" s="63"/>
      <c r="M180" s="64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6"/>
      <c r="J181" s="63"/>
      <c r="K181" s="63"/>
      <c r="L181" s="63"/>
      <c r="M181" s="64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6"/>
      <c r="J182" s="63"/>
      <c r="K182" s="63"/>
      <c r="L182" s="63"/>
      <c r="M182" s="64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6"/>
      <c r="J183" s="63"/>
      <c r="K183" s="63"/>
      <c r="L183" s="63"/>
      <c r="M183" s="64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6"/>
      <c r="J184" s="63"/>
      <c r="K184" s="63"/>
      <c r="L184" s="63"/>
      <c r="M184" s="64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6"/>
      <c r="J185" s="63"/>
      <c r="K185" s="63"/>
      <c r="L185" s="63"/>
      <c r="M185" s="64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6"/>
      <c r="J186" s="63"/>
      <c r="K186" s="63"/>
      <c r="L186" s="63"/>
      <c r="M186" s="64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6"/>
      <c r="J187" s="63"/>
      <c r="K187" s="63"/>
      <c r="L187" s="63"/>
      <c r="M187" s="64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6"/>
      <c r="J188" s="63"/>
      <c r="K188" s="63"/>
      <c r="L188" s="63"/>
      <c r="M188" s="64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6"/>
      <c r="J189" s="63"/>
      <c r="K189" s="63"/>
      <c r="L189" s="63"/>
      <c r="M189" s="64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6"/>
      <c r="J190" s="63"/>
      <c r="K190" s="63"/>
      <c r="L190" s="63"/>
      <c r="M190" s="64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6"/>
      <c r="J191" s="63"/>
      <c r="K191" s="63"/>
      <c r="L191" s="63"/>
      <c r="M191" s="64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6"/>
      <c r="J192" s="63"/>
      <c r="K192" s="63"/>
      <c r="L192" s="63"/>
      <c r="M192" s="64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6"/>
      <c r="J193" s="63"/>
      <c r="K193" s="63"/>
      <c r="L193" s="63"/>
      <c r="M193" s="64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6"/>
      <c r="J194" s="63"/>
      <c r="K194" s="63"/>
      <c r="L194" s="63"/>
      <c r="M194" s="64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6"/>
      <c r="J195" s="63"/>
      <c r="K195" s="63"/>
      <c r="L195" s="63"/>
      <c r="M195" s="64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6"/>
      <c r="J196" s="63"/>
      <c r="K196" s="63"/>
      <c r="L196" s="63"/>
      <c r="M196" s="64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6"/>
      <c r="J197" s="63"/>
      <c r="K197" s="63"/>
      <c r="L197" s="63"/>
      <c r="M197" s="64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6"/>
      <c r="J198" s="63"/>
      <c r="K198" s="63"/>
      <c r="L198" s="63"/>
      <c r="M198" s="64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6"/>
      <c r="J199" s="63"/>
      <c r="K199" s="63"/>
      <c r="L199" s="63"/>
      <c r="M199" s="64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6"/>
      <c r="J200" s="63"/>
      <c r="K200" s="63"/>
      <c r="L200" s="63"/>
      <c r="M200" s="64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6"/>
      <c r="J201" s="63"/>
      <c r="K201" s="63"/>
      <c r="L201" s="63"/>
      <c r="M201" s="64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6"/>
      <c r="J202" s="63"/>
      <c r="K202" s="63"/>
      <c r="L202" s="63"/>
      <c r="M202" s="64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6"/>
      <c r="J203" s="63"/>
      <c r="K203" s="63"/>
      <c r="L203" s="63"/>
      <c r="M203" s="64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6"/>
      <c r="J204" s="63"/>
      <c r="K204" s="63"/>
      <c r="L204" s="63"/>
      <c r="M204" s="64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6"/>
      <c r="J205" s="63"/>
      <c r="K205" s="63"/>
      <c r="L205" s="63"/>
      <c r="M205" s="64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6"/>
      <c r="J206" s="63"/>
      <c r="K206" s="63"/>
      <c r="L206" s="63"/>
      <c r="M206" s="64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6"/>
      <c r="J207" s="63"/>
      <c r="K207" s="63"/>
      <c r="L207" s="63"/>
      <c r="M207" s="64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6"/>
      <c r="J208" s="63"/>
      <c r="K208" s="63"/>
      <c r="L208" s="63"/>
      <c r="M208" s="64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6"/>
      <c r="J209" s="63"/>
      <c r="K209" s="63"/>
      <c r="L209" s="63"/>
      <c r="M209" s="64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6"/>
      <c r="J210" s="63"/>
      <c r="K210" s="63"/>
      <c r="L210" s="63"/>
      <c r="M210" s="64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6"/>
      <c r="J211" s="63"/>
      <c r="K211" s="63"/>
      <c r="L211" s="63"/>
      <c r="M211" s="64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6"/>
      <c r="J212" s="63"/>
      <c r="K212" s="63"/>
      <c r="L212" s="63"/>
      <c r="M212" s="64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6"/>
      <c r="J213" s="63"/>
      <c r="K213" s="63"/>
      <c r="L213" s="63"/>
      <c r="M213" s="64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6"/>
      <c r="J214" s="63"/>
      <c r="K214" s="63"/>
      <c r="L214" s="63"/>
      <c r="M214" s="64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6"/>
      <c r="J215" s="63"/>
      <c r="K215" s="63"/>
      <c r="L215" s="63"/>
      <c r="M215" s="64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6"/>
      <c r="J216" s="63"/>
      <c r="K216" s="63"/>
      <c r="L216" s="63"/>
      <c r="M216" s="64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6"/>
      <c r="J217" s="63"/>
      <c r="K217" s="63"/>
      <c r="L217" s="63"/>
      <c r="M217" s="64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6"/>
      <c r="J218" s="63"/>
      <c r="K218" s="63"/>
      <c r="L218" s="63"/>
      <c r="M218" s="64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6"/>
      <c r="J219" s="63"/>
      <c r="K219" s="63"/>
      <c r="L219" s="63"/>
      <c r="M219" s="64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6"/>
      <c r="J220" s="63"/>
      <c r="K220" s="63"/>
      <c r="L220" s="63"/>
      <c r="M220" s="64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6"/>
      <c r="J221" s="63"/>
      <c r="K221" s="63"/>
      <c r="L221" s="63"/>
      <c r="M221" s="64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6"/>
      <c r="J222" s="63"/>
      <c r="K222" s="63"/>
      <c r="L222" s="63"/>
      <c r="M222" s="64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6"/>
      <c r="J223" s="63"/>
      <c r="K223" s="63"/>
      <c r="L223" s="63"/>
      <c r="M223" s="64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6"/>
      <c r="J224" s="63"/>
      <c r="K224" s="63"/>
      <c r="L224" s="63"/>
      <c r="M224" s="64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6"/>
      <c r="J225" s="63"/>
      <c r="K225" s="63"/>
      <c r="L225" s="63"/>
      <c r="M225" s="64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6"/>
      <c r="J226" s="63"/>
      <c r="K226" s="63"/>
      <c r="L226" s="63"/>
      <c r="M226" s="64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6"/>
      <c r="J227" s="63"/>
      <c r="K227" s="63"/>
      <c r="L227" s="63"/>
      <c r="M227" s="64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6"/>
      <c r="J228" s="63"/>
      <c r="K228" s="63"/>
      <c r="L228" s="63"/>
      <c r="M228" s="64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6"/>
      <c r="J229" s="63"/>
      <c r="K229" s="63"/>
      <c r="L229" s="63"/>
      <c r="M229" s="64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6"/>
      <c r="J230" s="63"/>
      <c r="K230" s="63"/>
      <c r="L230" s="63"/>
      <c r="M230" s="64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6"/>
      <c r="J231" s="63"/>
      <c r="K231" s="63"/>
      <c r="L231" s="63"/>
      <c r="M231" s="64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6"/>
      <c r="J232" s="63"/>
      <c r="K232" s="63"/>
      <c r="L232" s="63"/>
      <c r="M232" s="64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6"/>
      <c r="J233" s="63"/>
      <c r="K233" s="63"/>
      <c r="L233" s="63"/>
      <c r="M233" s="64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6"/>
      <c r="J234" s="63"/>
      <c r="K234" s="63"/>
      <c r="L234" s="63"/>
      <c r="M234" s="64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6"/>
      <c r="J235" s="63"/>
      <c r="K235" s="63"/>
      <c r="L235" s="63"/>
      <c r="M235" s="64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6"/>
      <c r="J236" s="63"/>
      <c r="K236" s="63"/>
      <c r="L236" s="63"/>
      <c r="M236" s="64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6"/>
      <c r="J237" s="63"/>
      <c r="K237" s="63"/>
      <c r="L237" s="63"/>
      <c r="M237" s="64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6"/>
      <c r="J238" s="63"/>
      <c r="K238" s="63"/>
      <c r="L238" s="63"/>
      <c r="M238" s="64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6"/>
      <c r="J239" s="63"/>
      <c r="K239" s="63"/>
      <c r="L239" s="63"/>
      <c r="M239" s="64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6"/>
      <c r="J240" s="63"/>
      <c r="K240" s="63"/>
      <c r="L240" s="63"/>
      <c r="M240" s="64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6"/>
      <c r="J241" s="63"/>
      <c r="K241" s="63"/>
      <c r="L241" s="63"/>
      <c r="M241" s="64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6"/>
      <c r="J242" s="63"/>
      <c r="K242" s="63"/>
      <c r="L242" s="63"/>
      <c r="M242" s="64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6"/>
      <c r="J243" s="63"/>
      <c r="K243" s="63"/>
      <c r="L243" s="63"/>
      <c r="M243" s="64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6"/>
      <c r="J244" s="63"/>
      <c r="K244" s="63"/>
      <c r="L244" s="63"/>
      <c r="M244" s="64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6"/>
      <c r="J245" s="63"/>
      <c r="K245" s="63"/>
      <c r="L245" s="63"/>
      <c r="M245" s="64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6"/>
      <c r="J246" s="63"/>
      <c r="K246" s="63"/>
      <c r="L246" s="63"/>
      <c r="M246" s="64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6"/>
      <c r="J247" s="63"/>
      <c r="K247" s="63"/>
      <c r="L247" s="63"/>
      <c r="M247" s="64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6"/>
      <c r="J248" s="63"/>
      <c r="K248" s="63"/>
      <c r="L248" s="63"/>
      <c r="M248" s="64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6"/>
      <c r="J249" s="63"/>
      <c r="K249" s="63"/>
      <c r="L249" s="63"/>
      <c r="M249" s="64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6"/>
      <c r="J250" s="63"/>
      <c r="K250" s="63"/>
      <c r="L250" s="63"/>
      <c r="M250" s="64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6"/>
      <c r="J251" s="63"/>
      <c r="K251" s="63"/>
      <c r="L251" s="63"/>
      <c r="M251" s="64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6"/>
      <c r="J252" s="63"/>
      <c r="K252" s="63"/>
      <c r="L252" s="63"/>
      <c r="M252" s="64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6"/>
      <c r="J253" s="63"/>
      <c r="K253" s="63"/>
      <c r="L253" s="63"/>
      <c r="M253" s="64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6"/>
      <c r="J254" s="63"/>
      <c r="K254" s="63"/>
      <c r="L254" s="63"/>
      <c r="M254" s="64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6"/>
      <c r="J255" s="63"/>
      <c r="K255" s="63"/>
      <c r="L255" s="63"/>
      <c r="M255" s="64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6"/>
      <c r="J256" s="63"/>
      <c r="K256" s="63"/>
      <c r="L256" s="63"/>
      <c r="M256" s="64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6"/>
      <c r="J257" s="63"/>
      <c r="K257" s="63"/>
      <c r="L257" s="63"/>
      <c r="M257" s="64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6"/>
      <c r="J258" s="63"/>
      <c r="K258" s="63"/>
      <c r="L258" s="63"/>
      <c r="M258" s="64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6"/>
      <c r="J259" s="63"/>
      <c r="K259" s="63"/>
      <c r="L259" s="63"/>
      <c r="M259" s="64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6"/>
      <c r="J260" s="63"/>
      <c r="K260" s="63"/>
      <c r="L260" s="63"/>
      <c r="M260" s="64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6"/>
      <c r="J261" s="63"/>
      <c r="K261" s="63"/>
      <c r="L261" s="63"/>
      <c r="M261" s="64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6"/>
      <c r="J262" s="63"/>
      <c r="K262" s="63"/>
      <c r="L262" s="63"/>
      <c r="M262" s="64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6"/>
      <c r="J263" s="63"/>
      <c r="K263" s="63"/>
      <c r="L263" s="63"/>
      <c r="M263" s="64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6"/>
      <c r="J264" s="63"/>
      <c r="K264" s="63"/>
      <c r="L264" s="63"/>
      <c r="M264" s="64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6"/>
      <c r="J265" s="63"/>
      <c r="K265" s="63"/>
      <c r="L265" s="63"/>
      <c r="M265" s="64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6"/>
      <c r="J266" s="63"/>
      <c r="K266" s="63"/>
      <c r="L266" s="63"/>
      <c r="M266" s="64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6"/>
      <c r="J267" s="63"/>
      <c r="K267" s="63"/>
      <c r="L267" s="63"/>
      <c r="M267" s="64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6"/>
      <c r="J268" s="63"/>
      <c r="K268" s="63"/>
      <c r="L268" s="63"/>
      <c r="M268" s="64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6"/>
      <c r="J269" s="63"/>
      <c r="K269" s="63"/>
      <c r="L269" s="63"/>
      <c r="M269" s="64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6"/>
      <c r="J270" s="63"/>
      <c r="K270" s="63"/>
      <c r="L270" s="63"/>
      <c r="M270" s="64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6"/>
      <c r="J271" s="63"/>
      <c r="K271" s="63"/>
      <c r="L271" s="63"/>
      <c r="M271" s="64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6"/>
      <c r="J272" s="63"/>
      <c r="K272" s="63"/>
      <c r="L272" s="63"/>
      <c r="M272" s="64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6"/>
      <c r="J273" s="63"/>
      <c r="K273" s="63"/>
      <c r="L273" s="63"/>
      <c r="M273" s="64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6"/>
      <c r="J274" s="63"/>
      <c r="K274" s="63"/>
      <c r="L274" s="63"/>
      <c r="M274" s="64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6"/>
      <c r="J275" s="63"/>
      <c r="K275" s="63"/>
      <c r="L275" s="63"/>
      <c r="M275" s="64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6"/>
      <c r="J276" s="63"/>
      <c r="K276" s="63"/>
      <c r="L276" s="63"/>
      <c r="M276" s="64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6"/>
      <c r="J277" s="63"/>
      <c r="K277" s="63"/>
      <c r="L277" s="63"/>
      <c r="M277" s="64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6"/>
      <c r="J278" s="63"/>
      <c r="K278" s="63"/>
      <c r="L278" s="63"/>
      <c r="M278" s="64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6"/>
      <c r="J279" s="63"/>
      <c r="K279" s="63"/>
      <c r="L279" s="63"/>
      <c r="M279" s="64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6"/>
      <c r="J280" s="63"/>
      <c r="K280" s="63"/>
      <c r="L280" s="63"/>
      <c r="M280" s="64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6"/>
      <c r="J281" s="63"/>
      <c r="K281" s="63"/>
      <c r="L281" s="63"/>
      <c r="M281" s="64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6"/>
      <c r="J282" s="63"/>
      <c r="K282" s="63"/>
      <c r="L282" s="63"/>
      <c r="M282" s="64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6"/>
      <c r="J283" s="63"/>
      <c r="K283" s="63"/>
      <c r="L283" s="63"/>
      <c r="M283" s="64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6"/>
      <c r="J284" s="63"/>
      <c r="K284" s="63"/>
      <c r="L284" s="63"/>
      <c r="M284" s="64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6"/>
      <c r="J285" s="63"/>
      <c r="K285" s="63"/>
      <c r="L285" s="63"/>
      <c r="M285" s="64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6"/>
      <c r="J286" s="63"/>
      <c r="K286" s="63"/>
      <c r="L286" s="63"/>
      <c r="M286" s="64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6"/>
      <c r="J287" s="63"/>
      <c r="K287" s="63"/>
      <c r="L287" s="63"/>
      <c r="M287" s="64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6"/>
      <c r="J288" s="63"/>
      <c r="K288" s="63"/>
      <c r="L288" s="63"/>
      <c r="M288" s="64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6"/>
      <c r="J289" s="63"/>
      <c r="K289" s="63"/>
      <c r="L289" s="63"/>
      <c r="M289" s="64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6"/>
      <c r="J290" s="63"/>
      <c r="K290" s="63"/>
      <c r="L290" s="63"/>
      <c r="M290" s="64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6"/>
      <c r="J291" s="63"/>
      <c r="K291" s="63"/>
      <c r="L291" s="63"/>
      <c r="M291" s="64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6"/>
      <c r="J292" s="63"/>
      <c r="K292" s="63"/>
      <c r="L292" s="63"/>
      <c r="M292" s="64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6"/>
      <c r="J293" s="63"/>
      <c r="K293" s="63"/>
      <c r="L293" s="63"/>
      <c r="M293" s="64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6"/>
      <c r="J294" s="63"/>
      <c r="K294" s="63"/>
      <c r="L294" s="63"/>
      <c r="M294" s="64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6"/>
      <c r="J295" s="63"/>
      <c r="K295" s="63"/>
      <c r="L295" s="63"/>
      <c r="M295" s="64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6"/>
      <c r="J296" s="63"/>
      <c r="K296" s="63"/>
      <c r="L296" s="63"/>
      <c r="M296" s="64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6"/>
      <c r="J297" s="63"/>
      <c r="K297" s="63"/>
      <c r="L297" s="63"/>
      <c r="M297" s="64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6"/>
      <c r="J298" s="63"/>
      <c r="K298" s="63"/>
      <c r="L298" s="63"/>
      <c r="M298" s="64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6"/>
      <c r="J299" s="63"/>
      <c r="K299" s="63"/>
      <c r="L299" s="63"/>
      <c r="M299" s="64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6"/>
      <c r="J300" s="63"/>
      <c r="K300" s="63"/>
      <c r="L300" s="63"/>
      <c r="M300" s="64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6"/>
      <c r="J301" s="63"/>
      <c r="K301" s="63"/>
      <c r="L301" s="63"/>
      <c r="M301" s="64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6"/>
      <c r="J302" s="63"/>
      <c r="K302" s="63"/>
      <c r="L302" s="63"/>
      <c r="M302" s="64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6"/>
      <c r="J303" s="63"/>
      <c r="K303" s="63"/>
      <c r="L303" s="63"/>
      <c r="M303" s="64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6"/>
      <c r="J304" s="63"/>
      <c r="K304" s="63"/>
      <c r="L304" s="63"/>
      <c r="M304" s="64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6"/>
      <c r="J305" s="63"/>
      <c r="K305" s="63"/>
      <c r="L305" s="63"/>
      <c r="M305" s="64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6"/>
      <c r="J306" s="63"/>
      <c r="K306" s="63"/>
      <c r="L306" s="63"/>
      <c r="M306" s="64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6"/>
      <c r="J307" s="63"/>
      <c r="K307" s="63"/>
      <c r="L307" s="63"/>
      <c r="M307" s="64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6"/>
      <c r="J308" s="63"/>
      <c r="K308" s="63"/>
      <c r="L308" s="63"/>
      <c r="M308" s="64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6"/>
      <c r="J309" s="63"/>
      <c r="K309" s="63"/>
      <c r="L309" s="63"/>
      <c r="M309" s="64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6"/>
      <c r="J310" s="63"/>
      <c r="K310" s="63"/>
      <c r="L310" s="63"/>
      <c r="M310" s="64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6"/>
      <c r="J311" s="63"/>
      <c r="K311" s="63"/>
      <c r="L311" s="63"/>
      <c r="M311" s="64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6"/>
      <c r="J312" s="63"/>
      <c r="K312" s="63"/>
      <c r="L312" s="63"/>
      <c r="M312" s="64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6"/>
      <c r="J313" s="63"/>
      <c r="K313" s="63"/>
      <c r="L313" s="63"/>
      <c r="M313" s="64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6"/>
      <c r="J314" s="63"/>
      <c r="K314" s="63"/>
      <c r="L314" s="63"/>
      <c r="M314" s="64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6"/>
      <c r="J315" s="63"/>
      <c r="K315" s="63"/>
      <c r="L315" s="63"/>
      <c r="M315" s="64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6"/>
      <c r="J316" s="63"/>
      <c r="K316" s="63"/>
      <c r="L316" s="63"/>
      <c r="M316" s="64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6"/>
      <c r="J317" s="63"/>
      <c r="K317" s="63"/>
      <c r="L317" s="63"/>
      <c r="M317" s="64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6"/>
      <c r="J318" s="63"/>
      <c r="K318" s="63"/>
      <c r="L318" s="63"/>
      <c r="M318" s="64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6"/>
      <c r="J319" s="63"/>
      <c r="K319" s="63"/>
      <c r="L319" s="63"/>
      <c r="M319" s="64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6"/>
      <c r="J320" s="63"/>
      <c r="K320" s="63"/>
      <c r="L320" s="63"/>
      <c r="M320" s="64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6"/>
      <c r="J321" s="63"/>
      <c r="K321" s="63"/>
      <c r="L321" s="63"/>
      <c r="M321" s="64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6"/>
      <c r="J322" s="63"/>
      <c r="K322" s="63"/>
      <c r="L322" s="63"/>
      <c r="M322" s="64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6"/>
      <c r="J323" s="63"/>
      <c r="K323" s="63"/>
      <c r="L323" s="63"/>
      <c r="M323" s="64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6"/>
      <c r="J324" s="63"/>
      <c r="K324" s="63"/>
      <c r="L324" s="63"/>
      <c r="M324" s="64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6"/>
      <c r="J325" s="63"/>
      <c r="K325" s="63"/>
      <c r="L325" s="63"/>
      <c r="M325" s="64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6"/>
      <c r="J326" s="63"/>
      <c r="K326" s="63"/>
      <c r="L326" s="63"/>
      <c r="M326" s="64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6"/>
      <c r="J327" s="63"/>
      <c r="K327" s="63"/>
      <c r="L327" s="63"/>
      <c r="M327" s="64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6"/>
      <c r="J328" s="63"/>
      <c r="K328" s="63"/>
      <c r="L328" s="63"/>
      <c r="M328" s="64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6"/>
      <c r="J329" s="63"/>
      <c r="K329" s="63"/>
      <c r="L329" s="63"/>
      <c r="M329" s="64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6"/>
      <c r="J330" s="63"/>
      <c r="K330" s="63"/>
      <c r="L330" s="63"/>
      <c r="M330" s="64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6"/>
      <c r="J331" s="63"/>
      <c r="K331" s="63"/>
      <c r="L331" s="63"/>
      <c r="M331" s="64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6"/>
      <c r="J332" s="63"/>
      <c r="K332" s="63"/>
      <c r="L332" s="63"/>
      <c r="M332" s="64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6"/>
      <c r="J333" s="63"/>
      <c r="K333" s="63"/>
      <c r="L333" s="63"/>
      <c r="M333" s="64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6"/>
      <c r="J334" s="63"/>
      <c r="K334" s="63"/>
      <c r="L334" s="63"/>
      <c r="M334" s="64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6"/>
      <c r="J335" s="63"/>
      <c r="K335" s="63"/>
      <c r="L335" s="63"/>
      <c r="M335" s="64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6"/>
      <c r="J336" s="63"/>
      <c r="K336" s="63"/>
      <c r="L336" s="63"/>
      <c r="M336" s="64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6"/>
      <c r="J337" s="63"/>
      <c r="K337" s="63"/>
      <c r="L337" s="63"/>
      <c r="M337" s="64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6"/>
      <c r="J338" s="63"/>
      <c r="K338" s="63"/>
      <c r="L338" s="63"/>
      <c r="M338" s="64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6"/>
      <c r="J339" s="63"/>
      <c r="K339" s="63"/>
      <c r="L339" s="63"/>
      <c r="M339" s="64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6"/>
      <c r="J340" s="63"/>
      <c r="K340" s="63"/>
      <c r="L340" s="63"/>
      <c r="M340" s="64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6"/>
      <c r="J341" s="63"/>
      <c r="K341" s="63"/>
      <c r="L341" s="63"/>
      <c r="M341" s="64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6"/>
      <c r="J342" s="63"/>
      <c r="K342" s="63"/>
      <c r="L342" s="63"/>
      <c r="M342" s="64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6"/>
      <c r="J343" s="63"/>
      <c r="K343" s="63"/>
      <c r="L343" s="63"/>
      <c r="M343" s="64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6"/>
      <c r="J344" s="63"/>
      <c r="K344" s="63"/>
      <c r="L344" s="63"/>
      <c r="M344" s="64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6"/>
      <c r="J345" s="63"/>
      <c r="K345" s="63"/>
      <c r="L345" s="63"/>
      <c r="M345" s="64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6"/>
      <c r="J346" s="63"/>
      <c r="K346" s="63"/>
      <c r="L346" s="63"/>
      <c r="M346" s="64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6"/>
      <c r="J347" s="63"/>
      <c r="K347" s="63"/>
      <c r="L347" s="63"/>
      <c r="M347" s="64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6"/>
      <c r="J348" s="63"/>
      <c r="K348" s="63"/>
      <c r="L348" s="63"/>
      <c r="M348" s="64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6"/>
      <c r="J349" s="63"/>
      <c r="K349" s="63"/>
      <c r="L349" s="63"/>
      <c r="M349" s="64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6"/>
      <c r="J350" s="63"/>
      <c r="K350" s="63"/>
      <c r="L350" s="63"/>
      <c r="M350" s="64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6"/>
      <c r="J351" s="63"/>
      <c r="K351" s="63"/>
      <c r="L351" s="63"/>
      <c r="M351" s="64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6"/>
      <c r="J352" s="63"/>
      <c r="K352" s="63"/>
      <c r="L352" s="63"/>
      <c r="M352" s="64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6"/>
      <c r="J353" s="63"/>
      <c r="K353" s="63"/>
      <c r="L353" s="63"/>
      <c r="M353" s="64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6"/>
      <c r="J354" s="63"/>
      <c r="K354" s="63"/>
      <c r="L354" s="63"/>
      <c r="M354" s="64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6"/>
      <c r="J355" s="63"/>
      <c r="K355" s="63"/>
      <c r="L355" s="63"/>
      <c r="M355" s="64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6"/>
      <c r="J356" s="63"/>
      <c r="K356" s="63"/>
      <c r="L356" s="63"/>
      <c r="M356" s="64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6"/>
      <c r="J357" s="63"/>
      <c r="K357" s="63"/>
      <c r="L357" s="63"/>
      <c r="M357" s="64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6"/>
      <c r="J358" s="63"/>
      <c r="K358" s="63"/>
      <c r="L358" s="63"/>
      <c r="M358" s="64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6"/>
      <c r="J359" s="63"/>
      <c r="K359" s="63"/>
      <c r="L359" s="63"/>
      <c r="M359" s="64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6"/>
      <c r="J360" s="63"/>
      <c r="K360" s="63"/>
      <c r="L360" s="63"/>
      <c r="M360" s="64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6"/>
      <c r="J361" s="63"/>
      <c r="K361" s="63"/>
      <c r="L361" s="63"/>
      <c r="M361" s="64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6"/>
      <c r="J362" s="63"/>
      <c r="K362" s="63"/>
      <c r="L362" s="63"/>
      <c r="M362" s="64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6"/>
      <c r="J363" s="63"/>
      <c r="K363" s="63"/>
      <c r="L363" s="63"/>
      <c r="M363" s="64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6"/>
      <c r="J364" s="63"/>
      <c r="K364" s="63"/>
      <c r="L364" s="63"/>
      <c r="M364" s="64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6"/>
      <c r="J365" s="63"/>
      <c r="K365" s="63"/>
      <c r="L365" s="63"/>
      <c r="M365" s="64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6"/>
      <c r="J366" s="63"/>
      <c r="K366" s="63"/>
      <c r="L366" s="63"/>
      <c r="M366" s="64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6"/>
      <c r="J367" s="63"/>
      <c r="K367" s="63"/>
      <c r="L367" s="63"/>
      <c r="M367" s="64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6"/>
      <c r="J368" s="63"/>
      <c r="K368" s="63"/>
      <c r="L368" s="63"/>
      <c r="M368" s="64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6"/>
      <c r="J369" s="63"/>
      <c r="K369" s="63"/>
      <c r="L369" s="63"/>
      <c r="M369" s="64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6"/>
      <c r="J370" s="63"/>
      <c r="K370" s="63"/>
      <c r="L370" s="63"/>
      <c r="M370" s="64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6"/>
      <c r="J371" s="63"/>
      <c r="K371" s="63"/>
      <c r="L371" s="63"/>
      <c r="M371" s="64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6"/>
      <c r="J372" s="63"/>
      <c r="K372" s="63"/>
      <c r="L372" s="63"/>
      <c r="M372" s="64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6"/>
      <c r="J373" s="63"/>
      <c r="K373" s="63"/>
      <c r="L373" s="63"/>
      <c r="M373" s="64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6"/>
      <c r="J374" s="63"/>
      <c r="K374" s="63"/>
      <c r="L374" s="63"/>
      <c r="M374" s="64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6"/>
      <c r="J375" s="63"/>
      <c r="K375" s="63"/>
      <c r="L375" s="63"/>
      <c r="M375" s="64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6"/>
      <c r="J376" s="63"/>
      <c r="K376" s="63"/>
      <c r="L376" s="63"/>
      <c r="M376" s="64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6"/>
      <c r="J377" s="63"/>
      <c r="K377" s="63"/>
      <c r="L377" s="63"/>
      <c r="M377" s="64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6"/>
      <c r="J378" s="63"/>
      <c r="K378" s="63"/>
      <c r="L378" s="63"/>
      <c r="M378" s="64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6"/>
      <c r="J379" s="63"/>
      <c r="K379" s="63"/>
      <c r="L379" s="63"/>
      <c r="M379" s="64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6"/>
      <c r="J380" s="63"/>
      <c r="K380" s="63"/>
      <c r="L380" s="63"/>
      <c r="M380" s="64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6"/>
      <c r="J381" s="63"/>
      <c r="K381" s="63"/>
      <c r="L381" s="63"/>
      <c r="M381" s="64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6"/>
      <c r="J382" s="63"/>
      <c r="K382" s="63"/>
      <c r="L382" s="63"/>
      <c r="M382" s="64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6"/>
      <c r="J383" s="63"/>
      <c r="K383" s="63"/>
      <c r="L383" s="63"/>
      <c r="M383" s="64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6"/>
      <c r="J384" s="63"/>
      <c r="K384" s="63"/>
      <c r="L384" s="63"/>
      <c r="M384" s="64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6"/>
      <c r="J385" s="63"/>
      <c r="K385" s="63"/>
      <c r="L385" s="63"/>
      <c r="M385" s="64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6"/>
      <c r="J386" s="63"/>
      <c r="K386" s="63"/>
      <c r="L386" s="63"/>
      <c r="M386" s="64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6"/>
      <c r="J387" s="63"/>
      <c r="K387" s="63"/>
      <c r="L387" s="63"/>
      <c r="M387" s="64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6"/>
      <c r="J388" s="63"/>
      <c r="K388" s="63"/>
      <c r="L388" s="63"/>
      <c r="M388" s="64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6"/>
      <c r="J389" s="63"/>
      <c r="K389" s="63"/>
      <c r="L389" s="63"/>
      <c r="M389" s="64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6"/>
      <c r="J390" s="63"/>
      <c r="K390" s="63"/>
      <c r="L390" s="63"/>
      <c r="M390" s="64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6"/>
      <c r="J391" s="63"/>
      <c r="K391" s="63"/>
      <c r="L391" s="63"/>
      <c r="M391" s="64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6"/>
      <c r="J392" s="63"/>
      <c r="K392" s="63"/>
      <c r="L392" s="63"/>
      <c r="M392" s="64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6"/>
      <c r="J393" s="63"/>
      <c r="K393" s="63"/>
      <c r="L393" s="63"/>
      <c r="M393" s="64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6"/>
      <c r="J394" s="63"/>
      <c r="K394" s="63"/>
      <c r="L394" s="63"/>
      <c r="M394" s="64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6"/>
      <c r="J395" s="63"/>
      <c r="K395" s="63"/>
      <c r="L395" s="63"/>
      <c r="M395" s="64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6"/>
      <c r="J396" s="63"/>
      <c r="K396" s="63"/>
      <c r="L396" s="63"/>
      <c r="M396" s="64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6"/>
      <c r="J397" s="63"/>
      <c r="K397" s="63"/>
      <c r="L397" s="63"/>
      <c r="M397" s="64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6"/>
      <c r="J398" s="63"/>
      <c r="K398" s="63"/>
      <c r="L398" s="63"/>
      <c r="M398" s="64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6"/>
      <c r="J399" s="63"/>
      <c r="K399" s="63"/>
      <c r="L399" s="63"/>
      <c r="M399" s="64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6"/>
      <c r="J400" s="63"/>
      <c r="K400" s="63"/>
      <c r="L400" s="63"/>
      <c r="M400" s="64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6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6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6"/>
      <c r="J403" s="63"/>
      <c r="K403" s="63"/>
      <c r="L403" s="63"/>
      <c r="M403" s="64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6"/>
      <c r="J404" s="63"/>
      <c r="K404" s="63"/>
      <c r="L404" s="63"/>
      <c r="M404" s="64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6"/>
      <c r="J405" s="63"/>
      <c r="K405" s="63"/>
      <c r="L405" s="63"/>
      <c r="M405" s="64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6"/>
      <c r="J406" s="63"/>
      <c r="K406" s="63"/>
      <c r="L406" s="63"/>
      <c r="M406" s="64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6"/>
      <c r="J407" s="63"/>
      <c r="K407" s="63"/>
      <c r="L407" s="63"/>
      <c r="M407" s="64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6"/>
      <c r="J408" s="63"/>
      <c r="K408" s="63"/>
      <c r="L408" s="63"/>
      <c r="M408" s="64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6"/>
      <c r="J409" s="63"/>
      <c r="K409" s="63"/>
      <c r="L409" s="63"/>
      <c r="M409" s="64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6"/>
      <c r="J410" s="63"/>
      <c r="K410" s="63"/>
      <c r="L410" s="63"/>
      <c r="M410" s="64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6"/>
      <c r="J411" s="63"/>
      <c r="K411" s="63"/>
      <c r="L411" s="63"/>
      <c r="M411" s="64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6"/>
      <c r="J412" s="63"/>
      <c r="K412" s="63"/>
      <c r="L412" s="63"/>
      <c r="M412" s="64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6"/>
      <c r="J413" s="63"/>
      <c r="K413" s="63"/>
      <c r="L413" s="63"/>
      <c r="M413" s="64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6"/>
      <c r="J414" s="63"/>
      <c r="K414" s="63"/>
      <c r="L414" s="63"/>
      <c r="M414" s="64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6"/>
      <c r="J415" s="63"/>
      <c r="K415" s="63"/>
      <c r="L415" s="63"/>
      <c r="M415" s="64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6"/>
      <c r="J416" s="63"/>
      <c r="K416" s="63"/>
      <c r="L416" s="63"/>
      <c r="M416" s="64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6"/>
      <c r="J417" s="63"/>
      <c r="K417" s="63"/>
      <c r="L417" s="63"/>
      <c r="M417" s="64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6"/>
      <c r="J418" s="63"/>
      <c r="K418" s="63"/>
      <c r="L418" s="63"/>
      <c r="M418" s="64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6"/>
      <c r="J419" s="63"/>
      <c r="K419" s="63"/>
      <c r="L419" s="63"/>
      <c r="M419" s="64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6"/>
      <c r="J420" s="63"/>
      <c r="K420" s="63"/>
      <c r="L420" s="63"/>
      <c r="M420" s="64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6"/>
      <c r="J421" s="63"/>
      <c r="K421" s="63"/>
      <c r="L421" s="63"/>
      <c r="M421" s="64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6"/>
      <c r="J422" s="63"/>
      <c r="K422" s="63"/>
      <c r="L422" s="63"/>
      <c r="M422" s="64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6"/>
      <c r="J423" s="63"/>
      <c r="K423" s="63"/>
      <c r="L423" s="63"/>
      <c r="M423" s="64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6"/>
      <c r="J424" s="63"/>
      <c r="K424" s="63"/>
      <c r="L424" s="63"/>
      <c r="M424" s="64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6"/>
      <c r="J425" s="63"/>
      <c r="K425" s="63"/>
      <c r="L425" s="63"/>
      <c r="M425" s="64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6"/>
      <c r="J426" s="63"/>
      <c r="K426" s="63"/>
      <c r="L426" s="63"/>
      <c r="M426" s="64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6"/>
      <c r="J427" s="63"/>
      <c r="K427" s="63"/>
      <c r="L427" s="63"/>
      <c r="M427" s="64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6"/>
      <c r="J428" s="63"/>
      <c r="K428" s="63"/>
      <c r="L428" s="63"/>
      <c r="M428" s="64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6"/>
      <c r="J429" s="63"/>
      <c r="K429" s="63"/>
      <c r="L429" s="63"/>
      <c r="M429" s="64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6"/>
      <c r="J430" s="63"/>
      <c r="K430" s="63"/>
      <c r="L430" s="63"/>
      <c r="M430" s="64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6"/>
      <c r="J431" s="63"/>
      <c r="K431" s="63"/>
      <c r="L431" s="63"/>
      <c r="M431" s="64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6"/>
      <c r="J432" s="63"/>
      <c r="K432" s="63"/>
      <c r="L432" s="63"/>
      <c r="M432" s="64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6"/>
      <c r="J433" s="63"/>
      <c r="K433" s="63"/>
      <c r="L433" s="63"/>
      <c r="M433" s="64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6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6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6"/>
      <c r="J436" s="63"/>
      <c r="K436" s="63"/>
      <c r="L436" s="63"/>
      <c r="M436" s="64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6"/>
      <c r="J437" s="63"/>
      <c r="K437" s="63"/>
      <c r="L437" s="63"/>
      <c r="M437" s="64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6"/>
      <c r="J438" s="63"/>
      <c r="K438" s="63"/>
      <c r="L438" s="63"/>
      <c r="M438" s="64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6"/>
      <c r="J439" s="63"/>
      <c r="K439" s="63"/>
      <c r="L439" s="63"/>
      <c r="M439" s="64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6"/>
      <c r="J440" s="63"/>
      <c r="K440" s="63"/>
      <c r="L440" s="63"/>
      <c r="M440" s="64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6"/>
      <c r="J441" s="63"/>
      <c r="K441" s="63"/>
      <c r="L441" s="63"/>
      <c r="M441" s="64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6"/>
      <c r="J442" s="63"/>
      <c r="K442" s="63"/>
      <c r="L442" s="63"/>
      <c r="M442" s="64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6"/>
      <c r="J443" s="63"/>
      <c r="K443" s="63"/>
      <c r="L443" s="63"/>
      <c r="M443" s="64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6"/>
      <c r="J444" s="63"/>
      <c r="K444" s="63"/>
      <c r="L444" s="63"/>
      <c r="M444" s="64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6"/>
      <c r="J445" s="63"/>
      <c r="K445" s="63"/>
      <c r="L445" s="63"/>
      <c r="M445" s="64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6"/>
      <c r="J446" s="63"/>
      <c r="K446" s="63"/>
      <c r="L446" s="63"/>
      <c r="M446" s="64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6"/>
      <c r="J447" s="63"/>
      <c r="K447" s="63"/>
      <c r="L447" s="63"/>
      <c r="M447" s="64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6"/>
      <c r="J448" s="63"/>
      <c r="K448" s="63"/>
      <c r="L448" s="63"/>
      <c r="M448" s="64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6"/>
      <c r="J449" s="63"/>
      <c r="K449" s="63"/>
      <c r="L449" s="63"/>
      <c r="M449" s="64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6"/>
      <c r="J450" s="63"/>
      <c r="K450" s="63"/>
      <c r="L450" s="63"/>
      <c r="M450" s="64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6"/>
      <c r="J451" s="63"/>
      <c r="K451" s="63"/>
      <c r="L451" s="63"/>
      <c r="M451" s="64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6"/>
      <c r="J452" s="63"/>
      <c r="K452" s="63"/>
      <c r="L452" s="63"/>
      <c r="M452" s="64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6"/>
      <c r="J453" s="63"/>
      <c r="K453" s="63"/>
      <c r="L453" s="63"/>
      <c r="M453" s="64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6"/>
      <c r="J454" s="63"/>
      <c r="K454" s="63"/>
      <c r="L454" s="63"/>
      <c r="M454" s="64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6"/>
      <c r="J455" s="63"/>
      <c r="K455" s="63"/>
      <c r="L455" s="63"/>
      <c r="M455" s="64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6"/>
      <c r="J456" s="63"/>
      <c r="K456" s="63"/>
      <c r="L456" s="63"/>
      <c r="M456" s="64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6"/>
      <c r="J457" s="63"/>
      <c r="K457" s="63"/>
      <c r="L457" s="63"/>
      <c r="M457" s="64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6"/>
      <c r="J458" s="63"/>
      <c r="K458" s="63"/>
      <c r="L458" s="63"/>
      <c r="M458" s="64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6"/>
      <c r="J459" s="63"/>
      <c r="K459" s="63"/>
      <c r="L459" s="63"/>
      <c r="M459" s="64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6"/>
      <c r="J460" s="63"/>
      <c r="K460" s="63"/>
      <c r="L460" s="63"/>
      <c r="M460" s="64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6"/>
      <c r="J461" s="63"/>
      <c r="K461" s="63"/>
      <c r="L461" s="63"/>
      <c r="M461" s="64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6"/>
      <c r="J462" s="63"/>
      <c r="K462" s="63"/>
      <c r="L462" s="63"/>
      <c r="M462" s="64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6"/>
      <c r="J463" s="63"/>
      <c r="K463" s="63"/>
      <c r="L463" s="63"/>
      <c r="M463" s="64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6"/>
      <c r="J464" s="63"/>
      <c r="K464" s="63"/>
      <c r="L464" s="63"/>
      <c r="M464" s="64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6"/>
      <c r="J465" s="63"/>
      <c r="K465" s="63"/>
      <c r="L465" s="63"/>
      <c r="M465" s="64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6"/>
      <c r="J466" s="63"/>
      <c r="K466" s="63"/>
      <c r="L466" s="63"/>
      <c r="M466" s="64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6"/>
      <c r="J467" s="63"/>
      <c r="K467" s="63"/>
      <c r="L467" s="63"/>
      <c r="M467" s="64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6"/>
      <c r="J468" s="63"/>
      <c r="K468" s="63"/>
      <c r="L468" s="63"/>
      <c r="M468" s="64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6"/>
      <c r="J469" s="63"/>
      <c r="K469" s="63"/>
      <c r="L469" s="63"/>
      <c r="M469" s="64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6"/>
      <c r="J470" s="63"/>
      <c r="K470" s="63"/>
      <c r="L470" s="63"/>
      <c r="M470" s="64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6"/>
      <c r="J471" s="63"/>
      <c r="K471" s="63"/>
      <c r="L471" s="63"/>
      <c r="M471" s="64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6"/>
      <c r="J472" s="63"/>
      <c r="K472" s="63"/>
      <c r="L472" s="63"/>
      <c r="M472" s="64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6"/>
      <c r="J473" s="63"/>
      <c r="K473" s="63"/>
      <c r="L473" s="63"/>
      <c r="M473" s="64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6"/>
      <c r="J474" s="63"/>
      <c r="K474" s="63"/>
      <c r="L474" s="63"/>
      <c r="M474" s="64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6"/>
      <c r="J475" s="63"/>
      <c r="K475" s="63"/>
      <c r="L475" s="63"/>
      <c r="M475" s="64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6"/>
      <c r="J476" s="63"/>
      <c r="K476" s="63"/>
      <c r="L476" s="63"/>
      <c r="M476" s="64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6"/>
      <c r="J477" s="63"/>
      <c r="K477" s="63"/>
      <c r="L477" s="63"/>
      <c r="M477" s="64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6"/>
      <c r="J478" s="63"/>
      <c r="K478" s="63"/>
      <c r="L478" s="63"/>
      <c r="M478" s="64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6"/>
      <c r="J479" s="63"/>
      <c r="K479" s="63"/>
      <c r="L479" s="63"/>
      <c r="M479" s="64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6"/>
      <c r="J480" s="63"/>
      <c r="K480" s="63"/>
      <c r="L480" s="63"/>
      <c r="M480" s="64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6"/>
      <c r="J481" s="63"/>
      <c r="K481" s="63"/>
      <c r="L481" s="63"/>
      <c r="M481" s="64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6"/>
      <c r="J482" s="63"/>
      <c r="K482" s="63"/>
      <c r="L482" s="63"/>
      <c r="M482" s="64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6"/>
      <c r="J483" s="63"/>
      <c r="K483" s="63"/>
      <c r="L483" s="63"/>
      <c r="M483" s="64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6"/>
      <c r="J484" s="63"/>
      <c r="K484" s="63"/>
      <c r="L484" s="63"/>
      <c r="M484" s="64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6"/>
      <c r="J485" s="63"/>
      <c r="K485" s="63"/>
      <c r="L485" s="63"/>
      <c r="M485" s="64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6"/>
      <c r="J486" s="63"/>
      <c r="K486" s="63"/>
      <c r="L486" s="63"/>
      <c r="M486" s="64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6"/>
      <c r="J487" s="63"/>
      <c r="K487" s="63"/>
      <c r="L487" s="63"/>
      <c r="M487" s="64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6"/>
      <c r="J488" s="63"/>
      <c r="K488" s="63"/>
      <c r="L488" s="63"/>
      <c r="M488" s="64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6"/>
      <c r="J489" s="63"/>
      <c r="K489" s="63"/>
      <c r="L489" s="63"/>
      <c r="M489" s="64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6"/>
      <c r="J490" s="63"/>
      <c r="K490" s="63"/>
      <c r="L490" s="63"/>
      <c r="M490" s="64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6"/>
      <c r="J491" s="63"/>
      <c r="K491" s="63"/>
      <c r="L491" s="63"/>
      <c r="M491" s="64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6"/>
      <c r="J492" s="63"/>
      <c r="K492" s="63"/>
      <c r="L492" s="63"/>
      <c r="M492" s="64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6"/>
      <c r="J493" s="63"/>
      <c r="K493" s="63"/>
      <c r="L493" s="63"/>
      <c r="M493" s="64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6"/>
      <c r="J494" s="63"/>
      <c r="K494" s="63"/>
      <c r="L494" s="63"/>
      <c r="M494" s="64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6"/>
      <c r="J495" s="63"/>
      <c r="K495" s="63"/>
      <c r="L495" s="63"/>
      <c r="M495" s="64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6"/>
      <c r="J496" s="63"/>
      <c r="K496" s="63"/>
      <c r="L496" s="63"/>
      <c r="M496" s="64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6"/>
      <c r="J497" s="63"/>
      <c r="K497" s="63"/>
      <c r="L497" s="63"/>
      <c r="M497" s="64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6"/>
      <c r="J498" s="63"/>
      <c r="K498" s="63"/>
      <c r="L498" s="63"/>
      <c r="M498" s="64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6"/>
      <c r="J499" s="63"/>
      <c r="K499" s="63"/>
      <c r="L499" s="63"/>
      <c r="M499" s="64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6"/>
      <c r="J500" s="63"/>
      <c r="K500" s="63"/>
      <c r="L500" s="63"/>
      <c r="M500" s="64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6"/>
      <c r="J501" s="63"/>
      <c r="K501" s="63"/>
      <c r="L501" s="63"/>
      <c r="M501" s="64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6"/>
      <c r="J502" s="63"/>
      <c r="K502" s="63"/>
      <c r="L502" s="63"/>
      <c r="M502" s="64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6"/>
      <c r="J503" s="63"/>
      <c r="K503" s="63"/>
      <c r="L503" s="63"/>
      <c r="M503" s="64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6"/>
      <c r="J504" s="63"/>
      <c r="K504" s="63"/>
      <c r="L504" s="63"/>
      <c r="M504" s="64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6"/>
      <c r="J505" s="63"/>
      <c r="K505" s="63"/>
      <c r="L505" s="63"/>
      <c r="M505" s="64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6"/>
      <c r="J506" s="63"/>
      <c r="K506" s="63"/>
      <c r="L506" s="63"/>
      <c r="M506" s="64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6"/>
      <c r="J507" s="63"/>
      <c r="K507" s="63"/>
      <c r="L507" s="63"/>
      <c r="M507" s="64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6"/>
      <c r="J508" s="63"/>
      <c r="K508" s="63"/>
      <c r="L508" s="63"/>
      <c r="M508" s="64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6"/>
      <c r="J509" s="63"/>
      <c r="K509" s="63"/>
      <c r="L509" s="63"/>
      <c r="M509" s="64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6"/>
      <c r="J510" s="63"/>
      <c r="K510" s="63"/>
      <c r="L510" s="63"/>
      <c r="M510" s="64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6"/>
      <c r="J511" s="63"/>
      <c r="K511" s="63"/>
      <c r="L511" s="63"/>
      <c r="M511" s="64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6"/>
      <c r="J512" s="63"/>
      <c r="K512" s="63"/>
      <c r="L512" s="63"/>
      <c r="M512" s="64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6"/>
      <c r="J513" s="63"/>
      <c r="K513" s="63"/>
      <c r="L513" s="63"/>
      <c r="M513" s="64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6"/>
      <c r="J514" s="63"/>
      <c r="K514" s="63"/>
      <c r="L514" s="63"/>
      <c r="M514" s="64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6"/>
      <c r="J515" s="63"/>
      <c r="K515" s="63"/>
      <c r="L515" s="63"/>
      <c r="M515" s="64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6"/>
      <c r="J516" s="63"/>
      <c r="K516" s="63"/>
      <c r="L516" s="63"/>
      <c r="M516" s="64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6"/>
      <c r="J517" s="63"/>
      <c r="K517" s="63"/>
      <c r="L517" s="63"/>
      <c r="M517" s="64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6"/>
      <c r="J518" s="63"/>
      <c r="K518" s="63"/>
      <c r="L518" s="63"/>
      <c r="M518" s="64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6"/>
      <c r="J519" s="63"/>
      <c r="K519" s="63"/>
      <c r="L519" s="63"/>
      <c r="M519" s="64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6"/>
      <c r="J520" s="63"/>
      <c r="K520" s="63"/>
      <c r="L520" s="63"/>
      <c r="M520" s="64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6"/>
      <c r="J521" s="63"/>
      <c r="K521" s="63"/>
      <c r="L521" s="63"/>
      <c r="M521" s="64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6"/>
      <c r="J522" s="63"/>
      <c r="K522" s="63"/>
      <c r="L522" s="63"/>
      <c r="M522" s="64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6"/>
      <c r="J523" s="63"/>
      <c r="K523" s="63"/>
      <c r="L523" s="63"/>
      <c r="M523" s="64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6"/>
      <c r="J524" s="63"/>
      <c r="K524" s="63"/>
      <c r="L524" s="63"/>
      <c r="M524" s="64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6"/>
      <c r="J525" s="63"/>
      <c r="K525" s="63"/>
      <c r="L525" s="63"/>
      <c r="M525" s="64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6"/>
      <c r="J526" s="63"/>
      <c r="K526" s="63"/>
      <c r="L526" s="63"/>
      <c r="M526" s="64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6"/>
      <c r="J527" s="63"/>
      <c r="K527" s="63"/>
      <c r="L527" s="63"/>
      <c r="M527" s="64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6"/>
      <c r="J528" s="63"/>
      <c r="K528" s="63"/>
      <c r="L528" s="63"/>
      <c r="M528" s="64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6"/>
      <c r="J529" s="63"/>
      <c r="K529" s="63"/>
      <c r="L529" s="63"/>
      <c r="M529" s="64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6"/>
      <c r="J530" s="63"/>
      <c r="K530" s="63"/>
      <c r="L530" s="63"/>
      <c r="M530" s="64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6"/>
      <c r="J531" s="63"/>
      <c r="K531" s="63"/>
      <c r="L531" s="63"/>
      <c r="M531" s="64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6"/>
      <c r="J532" s="63"/>
      <c r="K532" s="63"/>
      <c r="L532" s="63"/>
      <c r="M532" s="64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6"/>
      <c r="J533" s="63"/>
      <c r="K533" s="63"/>
      <c r="L533" s="63"/>
      <c r="M533" s="64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6"/>
      <c r="J534" s="63"/>
      <c r="K534" s="63"/>
      <c r="L534" s="63"/>
      <c r="M534" s="64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6"/>
      <c r="J535" s="63"/>
      <c r="K535" s="63"/>
      <c r="L535" s="63"/>
      <c r="M535" s="64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6"/>
      <c r="J536" s="63"/>
      <c r="K536" s="63"/>
      <c r="L536" s="63"/>
      <c r="M536" s="64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6"/>
      <c r="J537" s="63"/>
      <c r="K537" s="63"/>
      <c r="L537" s="63"/>
      <c r="M537" s="64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6"/>
      <c r="J538" s="63"/>
      <c r="K538" s="63"/>
      <c r="L538" s="63"/>
      <c r="M538" s="64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6"/>
      <c r="J539" s="63"/>
      <c r="K539" s="63"/>
      <c r="L539" s="63"/>
      <c r="M539" s="64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6"/>
      <c r="J540" s="63"/>
      <c r="K540" s="63"/>
      <c r="L540" s="63"/>
      <c r="M540" s="64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6"/>
      <c r="J541" s="63"/>
      <c r="K541" s="63"/>
      <c r="L541" s="63"/>
      <c r="M541" s="64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6"/>
      <c r="J542" s="63"/>
      <c r="K542" s="63"/>
      <c r="L542" s="63"/>
      <c r="M542" s="64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6"/>
      <c r="J543" s="63"/>
      <c r="K543" s="63"/>
      <c r="L543" s="63"/>
      <c r="M543" s="64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6"/>
      <c r="J544" s="63"/>
      <c r="K544" s="63"/>
      <c r="L544" s="63"/>
      <c r="M544" s="64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6"/>
      <c r="J545" s="63"/>
      <c r="K545" s="63"/>
      <c r="L545" s="63"/>
      <c r="M545" s="64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6"/>
      <c r="J546" s="63"/>
      <c r="K546" s="63"/>
      <c r="L546" s="63"/>
      <c r="M546" s="64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6"/>
      <c r="J547" s="63"/>
      <c r="K547" s="63"/>
      <c r="L547" s="63"/>
      <c r="M547" s="64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6"/>
      <c r="J548" s="63"/>
      <c r="K548" s="63"/>
      <c r="L548" s="63"/>
      <c r="M548" s="64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6"/>
      <c r="J549" s="63"/>
      <c r="K549" s="63"/>
      <c r="L549" s="63"/>
      <c r="M549" s="64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6"/>
      <c r="J550" s="63"/>
      <c r="K550" s="63"/>
      <c r="L550" s="63"/>
      <c r="M550" s="64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6"/>
      <c r="J551" s="63"/>
      <c r="K551" s="63"/>
      <c r="L551" s="63"/>
      <c r="M551" s="64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6"/>
      <c r="J552" s="63"/>
      <c r="K552" s="63"/>
      <c r="L552" s="63"/>
      <c r="M552" s="64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6"/>
      <c r="J553" s="63"/>
      <c r="K553" s="63"/>
      <c r="L553" s="63"/>
      <c r="M553" s="64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6"/>
      <c r="J554" s="63"/>
      <c r="K554" s="63"/>
      <c r="L554" s="63"/>
      <c r="M554" s="64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6"/>
      <c r="J555" s="63"/>
      <c r="K555" s="63"/>
      <c r="L555" s="63"/>
      <c r="M555" s="64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6"/>
      <c r="J556" s="63"/>
      <c r="K556" s="63"/>
      <c r="L556" s="63"/>
      <c r="M556" s="64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6"/>
      <c r="J557" s="63"/>
      <c r="K557" s="63"/>
      <c r="L557" s="63"/>
      <c r="M557" s="64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6"/>
      <c r="J558" s="63"/>
      <c r="K558" s="63"/>
      <c r="L558" s="63"/>
      <c r="M558" s="64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6"/>
      <c r="J559" s="63"/>
      <c r="K559" s="63"/>
      <c r="L559" s="63"/>
      <c r="M559" s="64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6"/>
      <c r="J560" s="63"/>
      <c r="K560" s="63"/>
      <c r="L560" s="63"/>
      <c r="M560" s="64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6"/>
      <c r="J561" s="63"/>
      <c r="K561" s="63"/>
      <c r="L561" s="63"/>
      <c r="M561" s="64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6"/>
      <c r="J562" s="63"/>
      <c r="K562" s="63"/>
      <c r="L562" s="63"/>
      <c r="M562" s="64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6"/>
      <c r="J563" s="63"/>
      <c r="K563" s="63"/>
      <c r="L563" s="63"/>
      <c r="M563" s="64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6"/>
      <c r="J564" s="63"/>
      <c r="K564" s="63"/>
      <c r="L564" s="63"/>
      <c r="M564" s="64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6"/>
      <c r="J565" s="63"/>
      <c r="K565" s="63"/>
      <c r="L565" s="63"/>
      <c r="M565" s="64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6"/>
      <c r="J566" s="63"/>
      <c r="K566" s="63"/>
      <c r="L566" s="63"/>
      <c r="M566" s="64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6"/>
      <c r="J567" s="63"/>
      <c r="K567" s="63"/>
      <c r="L567" s="63"/>
      <c r="M567" s="64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6"/>
      <c r="J568" s="63"/>
      <c r="K568" s="63"/>
      <c r="L568" s="63"/>
      <c r="M568" s="64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6"/>
      <c r="J569" s="63"/>
      <c r="K569" s="63"/>
      <c r="L569" s="63"/>
      <c r="M569" s="64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6"/>
      <c r="J570" s="63"/>
      <c r="K570" s="63"/>
      <c r="L570" s="63"/>
      <c r="M570" s="64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6"/>
      <c r="J571" s="63"/>
      <c r="K571" s="63"/>
      <c r="L571" s="63"/>
      <c r="M571" s="64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6"/>
      <c r="J572" s="63"/>
      <c r="K572" s="63"/>
      <c r="L572" s="63"/>
      <c r="M572" s="64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6"/>
      <c r="J573" s="63"/>
      <c r="K573" s="63"/>
      <c r="L573" s="63"/>
      <c r="M573" s="64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6"/>
      <c r="J574" s="63"/>
      <c r="K574" s="63"/>
      <c r="L574" s="63"/>
      <c r="M574" s="64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6"/>
      <c r="J575" s="63"/>
      <c r="K575" s="63"/>
      <c r="L575" s="63"/>
      <c r="M575" s="64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6"/>
      <c r="J576" s="63"/>
      <c r="K576" s="63"/>
      <c r="L576" s="63"/>
      <c r="M576" s="64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6"/>
      <c r="J577" s="63"/>
      <c r="K577" s="63"/>
      <c r="L577" s="63"/>
      <c r="M577" s="64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6"/>
      <c r="J578" s="63"/>
      <c r="K578" s="63"/>
      <c r="L578" s="63"/>
      <c r="M578" s="64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6"/>
      <c r="J579" s="63"/>
      <c r="K579" s="63"/>
      <c r="L579" s="63"/>
      <c r="M579" s="64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6"/>
      <c r="J580" s="63"/>
      <c r="K580" s="63"/>
      <c r="L580" s="63"/>
      <c r="M580" s="64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6"/>
      <c r="J581" s="63"/>
      <c r="K581" s="63"/>
      <c r="L581" s="63"/>
      <c r="M581" s="64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6"/>
      <c r="J582" s="63"/>
      <c r="K582" s="63"/>
      <c r="L582" s="63"/>
      <c r="M582" s="64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6"/>
      <c r="J583" s="63"/>
      <c r="K583" s="63"/>
      <c r="L583" s="63"/>
      <c r="M583" s="64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6"/>
      <c r="J584" s="63"/>
      <c r="K584" s="63"/>
      <c r="L584" s="63"/>
      <c r="M584" s="64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6"/>
      <c r="J585" s="63"/>
      <c r="K585" s="63"/>
      <c r="L585" s="63"/>
      <c r="M585" s="64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6"/>
      <c r="J586" s="63"/>
      <c r="K586" s="63"/>
      <c r="L586" s="63"/>
      <c r="M586" s="64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6"/>
      <c r="J587" s="63"/>
      <c r="K587" s="63"/>
      <c r="L587" s="63"/>
      <c r="M587" s="64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6"/>
      <c r="J588" s="63"/>
      <c r="K588" s="63"/>
      <c r="L588" s="63"/>
      <c r="M588" s="64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6"/>
      <c r="J589" s="63"/>
      <c r="K589" s="63"/>
      <c r="L589" s="63"/>
      <c r="M589" s="64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6"/>
      <c r="J590" s="63"/>
      <c r="K590" s="63"/>
      <c r="L590" s="63"/>
      <c r="M590" s="64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6"/>
      <c r="J591" s="63"/>
      <c r="K591" s="63"/>
      <c r="L591" s="63"/>
      <c r="M591" s="64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6"/>
      <c r="J592" s="63"/>
      <c r="K592" s="63"/>
      <c r="L592" s="63"/>
      <c r="M592" s="64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6"/>
      <c r="J593" s="63"/>
      <c r="K593" s="63"/>
      <c r="L593" s="63"/>
      <c r="M593" s="64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6"/>
      <c r="J594" s="63"/>
      <c r="K594" s="63"/>
      <c r="L594" s="63"/>
      <c r="M594" s="64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6"/>
      <c r="J595" s="63"/>
      <c r="K595" s="63"/>
      <c r="L595" s="63"/>
      <c r="M595" s="64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6"/>
      <c r="J596" s="63"/>
      <c r="K596" s="63"/>
      <c r="L596" s="63"/>
      <c r="M596" s="64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6"/>
      <c r="J597" s="63"/>
      <c r="K597" s="63"/>
      <c r="L597" s="63"/>
      <c r="M597" s="64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6"/>
      <c r="J598" s="63"/>
      <c r="K598" s="63"/>
      <c r="L598" s="63"/>
      <c r="M598" s="64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6"/>
      <c r="J599" s="63"/>
      <c r="K599" s="63"/>
      <c r="L599" s="63"/>
      <c r="M599" s="64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6"/>
      <c r="J600" s="63"/>
      <c r="K600" s="63"/>
      <c r="L600" s="63"/>
      <c r="M600" s="64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6"/>
      <c r="J601" s="63"/>
      <c r="K601" s="63"/>
      <c r="L601" s="63"/>
      <c r="M601" s="64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6"/>
      <c r="J602" s="63"/>
      <c r="K602" s="63"/>
      <c r="L602" s="63"/>
      <c r="M602" s="64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6"/>
      <c r="J603" s="63"/>
      <c r="K603" s="63"/>
      <c r="L603" s="63"/>
      <c r="M603" s="64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6"/>
      <c r="J604" s="63"/>
      <c r="K604" s="63"/>
      <c r="L604" s="63"/>
      <c r="M604" s="64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6"/>
      <c r="J605" s="63"/>
      <c r="K605" s="63"/>
      <c r="L605" s="63"/>
      <c r="M605" s="64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6"/>
      <c r="J606" s="63"/>
      <c r="K606" s="63"/>
      <c r="L606" s="63"/>
      <c r="M606" s="64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6"/>
      <c r="J607" s="63"/>
      <c r="K607" s="63"/>
      <c r="L607" s="63"/>
      <c r="M607" s="64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6"/>
      <c r="J608" s="63"/>
      <c r="K608" s="63"/>
      <c r="L608" s="63"/>
      <c r="M608" s="64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6"/>
      <c r="J609" s="63"/>
      <c r="K609" s="63"/>
      <c r="L609" s="63"/>
      <c r="M609" s="64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6"/>
      <c r="J610" s="63"/>
      <c r="K610" s="63"/>
      <c r="L610" s="63"/>
      <c r="M610" s="64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6"/>
      <c r="J611" s="63"/>
      <c r="K611" s="63"/>
      <c r="L611" s="63"/>
      <c r="M611" s="64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6"/>
      <c r="J612" s="63"/>
      <c r="K612" s="63"/>
      <c r="L612" s="63"/>
      <c r="M612" s="64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6"/>
      <c r="J613" s="63"/>
      <c r="K613" s="63"/>
      <c r="L613" s="63"/>
      <c r="M613" s="64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6"/>
      <c r="J614" s="63"/>
      <c r="K614" s="63"/>
      <c r="L614" s="63"/>
      <c r="M614" s="64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6"/>
      <c r="J615" s="63"/>
      <c r="K615" s="63"/>
      <c r="L615" s="63"/>
      <c r="M615" s="64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6"/>
      <c r="J616" s="63"/>
      <c r="K616" s="63"/>
      <c r="L616" s="63"/>
      <c r="M616" s="64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6"/>
      <c r="J617" s="63"/>
      <c r="K617" s="63"/>
      <c r="L617" s="63"/>
      <c r="M617" s="64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6"/>
      <c r="J618" s="63"/>
      <c r="K618" s="63"/>
      <c r="L618" s="63"/>
      <c r="M618" s="64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6"/>
      <c r="J619" s="63"/>
      <c r="K619" s="63"/>
      <c r="L619" s="63"/>
      <c r="M619" s="64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6"/>
      <c r="J620" s="63"/>
      <c r="K620" s="63"/>
      <c r="L620" s="63"/>
      <c r="M620" s="64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6"/>
      <c r="J621" s="63"/>
      <c r="K621" s="63"/>
      <c r="L621" s="63"/>
      <c r="M621" s="64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6"/>
      <c r="J622" s="63"/>
      <c r="K622" s="63"/>
      <c r="L622" s="63"/>
      <c r="M622" s="64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6"/>
      <c r="J623" s="63"/>
      <c r="K623" s="63"/>
      <c r="L623" s="63"/>
      <c r="M623" s="64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6"/>
      <c r="J624" s="63"/>
      <c r="K624" s="63"/>
      <c r="L624" s="63"/>
      <c r="M624" s="64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6"/>
      <c r="J625" s="63"/>
      <c r="K625" s="63"/>
      <c r="L625" s="63"/>
      <c r="M625" s="64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6"/>
      <c r="J626" s="63"/>
      <c r="K626" s="63"/>
      <c r="L626" s="63"/>
      <c r="M626" s="64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6"/>
      <c r="J627" s="63"/>
      <c r="K627" s="63"/>
      <c r="L627" s="63"/>
      <c r="M627" s="64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6"/>
      <c r="J628" s="63"/>
      <c r="K628" s="63"/>
      <c r="L628" s="63"/>
      <c r="M628" s="64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6"/>
      <c r="J629" s="63"/>
      <c r="K629" s="63"/>
      <c r="L629" s="63"/>
      <c r="M629" s="64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6"/>
      <c r="J630" s="63"/>
      <c r="K630" s="63"/>
      <c r="L630" s="63"/>
      <c r="M630" s="64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6"/>
      <c r="J631" s="63"/>
      <c r="K631" s="63"/>
      <c r="L631" s="63"/>
      <c r="M631" s="64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6"/>
      <c r="J632" s="63"/>
      <c r="K632" s="63"/>
      <c r="L632" s="63"/>
      <c r="M632" s="64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6"/>
      <c r="J633" s="63"/>
      <c r="K633" s="63"/>
      <c r="L633" s="63"/>
      <c r="M633" s="64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6"/>
      <c r="J634" s="63"/>
      <c r="K634" s="63"/>
      <c r="L634" s="63"/>
      <c r="M634" s="64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6"/>
      <c r="J635" s="63"/>
      <c r="K635" s="63"/>
      <c r="L635" s="63"/>
      <c r="M635" s="64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6"/>
      <c r="J636" s="63"/>
      <c r="K636" s="63"/>
      <c r="L636" s="63"/>
      <c r="M636" s="64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6"/>
      <c r="J637" s="63"/>
      <c r="K637" s="63"/>
      <c r="L637" s="63"/>
      <c r="M637" s="64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6"/>
      <c r="J638" s="63"/>
      <c r="K638" s="63"/>
      <c r="L638" s="63"/>
      <c r="M638" s="64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6"/>
      <c r="J639" s="63"/>
      <c r="K639" s="63"/>
      <c r="L639" s="63"/>
      <c r="M639" s="64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6"/>
      <c r="J640" s="63"/>
      <c r="K640" s="63"/>
      <c r="L640" s="63"/>
      <c r="M640" s="64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6"/>
      <c r="J641" s="63"/>
      <c r="K641" s="63"/>
      <c r="L641" s="63"/>
      <c r="M641" s="64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6"/>
      <c r="J642" s="63"/>
      <c r="K642" s="63"/>
      <c r="L642" s="63"/>
      <c r="M642" s="64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6"/>
      <c r="J643" s="63"/>
      <c r="K643" s="63"/>
      <c r="L643" s="63"/>
      <c r="M643" s="64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6"/>
      <c r="J644" s="63"/>
      <c r="K644" s="63"/>
      <c r="L644" s="63"/>
      <c r="M644" s="64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6"/>
      <c r="J645" s="63"/>
      <c r="K645" s="63"/>
      <c r="L645" s="63"/>
      <c r="M645" s="64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6"/>
      <c r="J646" s="63"/>
      <c r="K646" s="63"/>
      <c r="L646" s="63"/>
      <c r="M646" s="64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6"/>
      <c r="J647" s="63"/>
      <c r="K647" s="63"/>
      <c r="L647" s="63"/>
      <c r="M647" s="64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6"/>
      <c r="J648" s="63"/>
      <c r="K648" s="63"/>
      <c r="L648" s="63"/>
      <c r="M648" s="64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6"/>
      <c r="J649" s="63"/>
      <c r="K649" s="63"/>
      <c r="L649" s="63"/>
      <c r="M649" s="64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6"/>
      <c r="J650" s="63"/>
      <c r="K650" s="63"/>
      <c r="L650" s="63"/>
      <c r="M650" s="64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6"/>
      <c r="J651" s="63"/>
      <c r="K651" s="63"/>
      <c r="L651" s="63"/>
      <c r="M651" s="64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6"/>
      <c r="J652" s="63"/>
      <c r="K652" s="63"/>
      <c r="L652" s="63"/>
      <c r="M652" s="64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6"/>
      <c r="J653" s="63"/>
      <c r="K653" s="63"/>
      <c r="L653" s="63"/>
      <c r="M653" s="64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6"/>
      <c r="J654" s="63"/>
      <c r="K654" s="63"/>
      <c r="L654" s="63"/>
      <c r="M654" s="64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6"/>
      <c r="J655" s="63"/>
      <c r="K655" s="63"/>
      <c r="L655" s="63"/>
      <c r="M655" s="64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6"/>
      <c r="J656" s="63"/>
      <c r="K656" s="63"/>
      <c r="L656" s="63"/>
      <c r="M656" s="64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6"/>
      <c r="J657" s="63"/>
      <c r="K657" s="63"/>
      <c r="L657" s="63"/>
      <c r="M657" s="64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6"/>
      <c r="J658" s="63"/>
      <c r="K658" s="63"/>
      <c r="L658" s="63"/>
      <c r="M658" s="64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6"/>
      <c r="J659" s="63"/>
      <c r="K659" s="63"/>
      <c r="L659" s="63"/>
      <c r="M659" s="64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6"/>
      <c r="J660" s="63"/>
      <c r="K660" s="63"/>
      <c r="L660" s="63"/>
      <c r="M660" s="64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6"/>
      <c r="J661" s="63"/>
      <c r="K661" s="63"/>
      <c r="L661" s="63"/>
      <c r="M661" s="64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6"/>
      <c r="J662" s="63"/>
      <c r="K662" s="63"/>
      <c r="L662" s="63"/>
      <c r="M662" s="64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6"/>
      <c r="J663" s="63"/>
      <c r="K663" s="63"/>
      <c r="L663" s="63"/>
      <c r="M663" s="64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6"/>
      <c r="J664" s="63"/>
      <c r="K664" s="63"/>
      <c r="L664" s="63"/>
      <c r="M664" s="64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6"/>
      <c r="J665" s="63"/>
      <c r="K665" s="63"/>
      <c r="L665" s="63"/>
      <c r="M665" s="64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6"/>
      <c r="J666" s="63"/>
      <c r="K666" s="63"/>
      <c r="L666" s="63"/>
      <c r="M666" s="64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6"/>
      <c r="J667" s="63"/>
      <c r="K667" s="63"/>
      <c r="L667" s="63"/>
      <c r="M667" s="64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6"/>
      <c r="J668" s="63"/>
      <c r="K668" s="63"/>
      <c r="L668" s="63"/>
      <c r="M668" s="64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6"/>
      <c r="J669" s="63"/>
      <c r="K669" s="63"/>
      <c r="L669" s="63"/>
      <c r="M669" s="64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6"/>
      <c r="J670" s="63"/>
      <c r="K670" s="63"/>
      <c r="L670" s="63"/>
      <c r="M670" s="64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6"/>
      <c r="J671" s="63"/>
      <c r="K671" s="63"/>
      <c r="L671" s="63"/>
      <c r="M671" s="64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6"/>
      <c r="J672" s="63"/>
      <c r="K672" s="63"/>
      <c r="L672" s="63"/>
      <c r="M672" s="64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6"/>
      <c r="J673" s="63"/>
      <c r="K673" s="63"/>
      <c r="L673" s="63"/>
      <c r="M673" s="64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6"/>
      <c r="J674" s="63"/>
      <c r="K674" s="63"/>
      <c r="L674" s="63"/>
      <c r="M674" s="64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6"/>
      <c r="J675" s="63"/>
      <c r="K675" s="63"/>
      <c r="L675" s="63"/>
      <c r="M675" s="64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6"/>
      <c r="J676" s="63"/>
      <c r="K676" s="63"/>
      <c r="L676" s="63"/>
      <c r="M676" s="64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6"/>
      <c r="J677" s="63"/>
      <c r="K677" s="63"/>
      <c r="L677" s="63"/>
      <c r="M677" s="64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6"/>
      <c r="J678" s="63"/>
      <c r="K678" s="63"/>
      <c r="L678" s="63"/>
      <c r="M678" s="64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6"/>
      <c r="J679" s="63"/>
      <c r="K679" s="63"/>
      <c r="L679" s="63"/>
      <c r="M679" s="64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6"/>
      <c r="J680" s="63"/>
      <c r="K680" s="63"/>
      <c r="L680" s="63"/>
      <c r="M680" s="64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6"/>
      <c r="J681" s="63"/>
      <c r="K681" s="63"/>
      <c r="L681" s="63"/>
      <c r="M681" s="64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6"/>
      <c r="J682" s="63"/>
      <c r="K682" s="63"/>
      <c r="L682" s="63"/>
      <c r="M682" s="64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6"/>
      <c r="J683" s="63"/>
      <c r="K683" s="63"/>
      <c r="L683" s="63"/>
      <c r="M683" s="64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6"/>
      <c r="J684" s="63"/>
      <c r="K684" s="63"/>
      <c r="L684" s="63"/>
      <c r="M684" s="64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6"/>
      <c r="J685" s="63"/>
      <c r="K685" s="63"/>
      <c r="L685" s="63"/>
      <c r="M685" s="64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6"/>
      <c r="J686" s="63"/>
      <c r="K686" s="63"/>
      <c r="L686" s="63"/>
      <c r="M686" s="64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6"/>
      <c r="J687" s="63"/>
      <c r="K687" s="63"/>
      <c r="L687" s="63"/>
      <c r="M687" s="64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6"/>
      <c r="J688" s="63"/>
      <c r="K688" s="63"/>
      <c r="L688" s="63"/>
      <c r="M688" s="64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6"/>
      <c r="J689" s="63"/>
      <c r="K689" s="63"/>
      <c r="L689" s="63"/>
      <c r="M689" s="64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6"/>
      <c r="J690" s="63"/>
      <c r="K690" s="63"/>
      <c r="L690" s="63"/>
      <c r="M690" s="64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6"/>
      <c r="J691" s="63"/>
      <c r="K691" s="63"/>
      <c r="L691" s="63"/>
      <c r="M691" s="64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6"/>
      <c r="J692" s="63"/>
      <c r="K692" s="63"/>
      <c r="L692" s="63"/>
      <c r="M692" s="64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6"/>
      <c r="J693" s="63"/>
      <c r="K693" s="63"/>
      <c r="L693" s="63"/>
      <c r="M693" s="64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6"/>
      <c r="J694" s="63"/>
      <c r="K694" s="63"/>
      <c r="L694" s="63"/>
      <c r="M694" s="64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6"/>
      <c r="J695" s="63"/>
      <c r="K695" s="63"/>
      <c r="L695" s="63"/>
      <c r="M695" s="64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6"/>
      <c r="J696" s="63"/>
      <c r="K696" s="63"/>
      <c r="L696" s="63"/>
      <c r="M696" s="64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6"/>
      <c r="J697" s="63"/>
      <c r="K697" s="63"/>
      <c r="L697" s="63"/>
      <c r="M697" s="64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6"/>
      <c r="J698" s="63"/>
      <c r="K698" s="63"/>
      <c r="L698" s="63"/>
      <c r="M698" s="64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6"/>
      <c r="J699" s="63"/>
      <c r="K699" s="63"/>
      <c r="L699" s="63"/>
      <c r="M699" s="64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6"/>
      <c r="J700" s="63"/>
      <c r="K700" s="63"/>
      <c r="L700" s="63"/>
      <c r="M700" s="64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6"/>
      <c r="J701" s="63"/>
      <c r="K701" s="63"/>
      <c r="L701" s="63"/>
      <c r="M701" s="64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6"/>
      <c r="J702" s="63"/>
      <c r="K702" s="63"/>
      <c r="L702" s="63"/>
      <c r="M702" s="64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6"/>
      <c r="J703" s="63"/>
      <c r="K703" s="63"/>
      <c r="L703" s="63"/>
      <c r="M703" s="64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6"/>
      <c r="J704" s="63"/>
      <c r="K704" s="63"/>
      <c r="L704" s="63"/>
      <c r="M704" s="64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6"/>
      <c r="J705" s="63"/>
      <c r="K705" s="63"/>
      <c r="L705" s="63"/>
      <c r="M705" s="64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6"/>
      <c r="J706" s="63"/>
      <c r="K706" s="63"/>
      <c r="L706" s="63"/>
      <c r="M706" s="64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6"/>
      <c r="J707" s="63"/>
      <c r="K707" s="63"/>
      <c r="L707" s="63"/>
      <c r="M707" s="64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6"/>
      <c r="J708" s="63"/>
      <c r="K708" s="63"/>
      <c r="L708" s="63"/>
      <c r="M708" s="64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6"/>
      <c r="J709" s="63"/>
      <c r="K709" s="63"/>
      <c r="L709" s="63"/>
      <c r="M709" s="64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6"/>
      <c r="J710" s="63"/>
      <c r="K710" s="63"/>
      <c r="L710" s="63"/>
      <c r="M710" s="64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6"/>
      <c r="J711" s="63"/>
      <c r="K711" s="63"/>
      <c r="L711" s="63"/>
      <c r="M711" s="64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6"/>
      <c r="J712" s="63"/>
      <c r="K712" s="63"/>
      <c r="L712" s="63"/>
      <c r="M712" s="64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6"/>
      <c r="J713" s="63"/>
      <c r="K713" s="63"/>
      <c r="L713" s="63"/>
      <c r="M713" s="64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6"/>
      <c r="J714" s="63"/>
      <c r="K714" s="63"/>
      <c r="L714" s="63"/>
      <c r="M714" s="64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6"/>
      <c r="J715" s="63"/>
      <c r="K715" s="63"/>
      <c r="L715" s="63"/>
      <c r="M715" s="64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6"/>
      <c r="J716" s="63"/>
      <c r="K716" s="63"/>
      <c r="L716" s="63"/>
      <c r="M716" s="64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6"/>
      <c r="J717" s="63"/>
      <c r="K717" s="63"/>
      <c r="L717" s="63"/>
      <c r="M717" s="64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6"/>
      <c r="J718" s="63"/>
      <c r="K718" s="63"/>
      <c r="L718" s="63"/>
      <c r="M718" s="64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6"/>
      <c r="J719" s="63"/>
      <c r="K719" s="63"/>
      <c r="L719" s="63"/>
      <c r="M719" s="64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6"/>
      <c r="J720" s="63"/>
      <c r="K720" s="63"/>
      <c r="L720" s="63"/>
      <c r="M720" s="64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6"/>
      <c r="J721" s="63"/>
      <c r="K721" s="63"/>
      <c r="L721" s="63"/>
      <c r="M721" s="64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6"/>
      <c r="J722" s="63"/>
      <c r="K722" s="63"/>
      <c r="L722" s="63"/>
      <c r="M722" s="64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6"/>
      <c r="J723" s="63"/>
      <c r="K723" s="63"/>
      <c r="L723" s="63"/>
      <c r="M723" s="64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6"/>
      <c r="J724" s="63"/>
      <c r="K724" s="63"/>
      <c r="L724" s="63"/>
      <c r="M724" s="64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6"/>
      <c r="J725" s="63"/>
      <c r="K725" s="63"/>
      <c r="L725" s="63"/>
      <c r="M725" s="64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6"/>
      <c r="J726" s="63"/>
      <c r="K726" s="63"/>
      <c r="L726" s="63"/>
      <c r="M726" s="64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6"/>
      <c r="J727" s="63"/>
      <c r="K727" s="63"/>
      <c r="L727" s="63"/>
      <c r="M727" s="64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6"/>
      <c r="J728" s="63"/>
      <c r="K728" s="63"/>
      <c r="L728" s="63"/>
      <c r="M728" s="64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6"/>
      <c r="J729" s="63"/>
      <c r="K729" s="63"/>
      <c r="L729" s="63"/>
      <c r="M729" s="64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6"/>
      <c r="J730" s="63"/>
      <c r="K730" s="63"/>
      <c r="L730" s="63"/>
      <c r="M730" s="64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6"/>
      <c r="J731" s="63"/>
      <c r="K731" s="63"/>
      <c r="L731" s="63"/>
      <c r="M731" s="64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6"/>
      <c r="J732" s="63"/>
      <c r="K732" s="63"/>
      <c r="L732" s="63"/>
      <c r="M732" s="64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6"/>
      <c r="J733" s="63"/>
      <c r="K733" s="63"/>
      <c r="L733" s="63"/>
      <c r="M733" s="64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6"/>
      <c r="J734" s="63"/>
      <c r="K734" s="63"/>
      <c r="L734" s="63"/>
      <c r="M734" s="64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6"/>
      <c r="J735" s="63"/>
      <c r="K735" s="63"/>
      <c r="L735" s="63"/>
      <c r="M735" s="64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6"/>
      <c r="J736" s="63"/>
      <c r="K736" s="63"/>
      <c r="L736" s="63"/>
      <c r="M736" s="64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6"/>
      <c r="J737" s="63"/>
      <c r="K737" s="63"/>
      <c r="L737" s="63"/>
      <c r="M737" s="64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6"/>
      <c r="J738" s="63"/>
      <c r="K738" s="63"/>
      <c r="L738" s="63"/>
      <c r="M738" s="64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6"/>
      <c r="J739" s="63"/>
      <c r="K739" s="63"/>
      <c r="L739" s="63"/>
      <c r="M739" s="64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6"/>
      <c r="J740" s="63"/>
      <c r="K740" s="63"/>
      <c r="L740" s="63"/>
      <c r="M740" s="64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6"/>
      <c r="J741" s="63"/>
      <c r="K741" s="63"/>
      <c r="L741" s="63"/>
      <c r="M741" s="64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6"/>
      <c r="J742" s="63"/>
      <c r="K742" s="63"/>
      <c r="L742" s="63"/>
      <c r="M742" s="64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6"/>
      <c r="J743" s="63"/>
      <c r="K743" s="63"/>
      <c r="L743" s="63"/>
      <c r="M743" s="64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6"/>
      <c r="J744" s="63"/>
      <c r="K744" s="63"/>
      <c r="L744" s="63"/>
      <c r="M744" s="64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6"/>
      <c r="J745" s="63"/>
      <c r="K745" s="63"/>
      <c r="L745" s="63"/>
      <c r="M745" s="64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6"/>
      <c r="J746" s="63"/>
      <c r="K746" s="63"/>
      <c r="L746" s="63"/>
      <c r="M746" s="64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6"/>
      <c r="J747" s="63"/>
      <c r="K747" s="63"/>
      <c r="L747" s="63"/>
      <c r="M747" s="64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6"/>
      <c r="J748" s="63"/>
      <c r="K748" s="63"/>
      <c r="L748" s="63"/>
      <c r="M748" s="64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6"/>
      <c r="J749" s="63"/>
      <c r="K749" s="63"/>
      <c r="L749" s="63"/>
      <c r="M749" s="64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6"/>
      <c r="J750" s="63"/>
      <c r="K750" s="63"/>
      <c r="L750" s="63"/>
      <c r="M750" s="64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6"/>
      <c r="J751" s="63"/>
      <c r="K751" s="63"/>
      <c r="L751" s="63"/>
      <c r="M751" s="64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6"/>
      <c r="J752" s="63"/>
      <c r="K752" s="63"/>
      <c r="L752" s="63"/>
      <c r="M752" s="64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6"/>
      <c r="J753" s="63"/>
      <c r="K753" s="63"/>
      <c r="L753" s="63"/>
      <c r="M753" s="64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6"/>
      <c r="J754" s="63"/>
      <c r="K754" s="63"/>
      <c r="L754" s="63"/>
      <c r="M754" s="64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6"/>
      <c r="J755" s="63"/>
      <c r="K755" s="63"/>
      <c r="L755" s="63"/>
      <c r="M755" s="64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6"/>
      <c r="J756" s="63"/>
      <c r="K756" s="63"/>
      <c r="L756" s="63"/>
      <c r="M756" s="64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6"/>
      <c r="J757" s="63"/>
      <c r="K757" s="63"/>
      <c r="L757" s="63"/>
      <c r="M757" s="64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6"/>
      <c r="J758" s="63"/>
      <c r="K758" s="63"/>
      <c r="L758" s="63"/>
      <c r="M758" s="64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6"/>
      <c r="J759" s="63"/>
      <c r="K759" s="63"/>
      <c r="L759" s="63"/>
      <c r="M759" s="64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6"/>
      <c r="J760" s="63"/>
      <c r="K760" s="63"/>
      <c r="L760" s="63"/>
      <c r="M760" s="64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6"/>
      <c r="J761" s="63"/>
      <c r="K761" s="63"/>
      <c r="L761" s="63"/>
      <c r="M761" s="64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6"/>
      <c r="J762" s="63"/>
      <c r="K762" s="63"/>
      <c r="L762" s="63"/>
      <c r="M762" s="64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6"/>
      <c r="J763" s="63"/>
      <c r="K763" s="63"/>
      <c r="L763" s="63"/>
      <c r="M763" s="64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6"/>
      <c r="J764" s="63"/>
      <c r="K764" s="63"/>
      <c r="L764" s="63"/>
      <c r="M764" s="64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6"/>
      <c r="J765" s="63"/>
      <c r="K765" s="63"/>
      <c r="L765" s="63"/>
      <c r="M765" s="64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6"/>
      <c r="J766" s="63"/>
      <c r="K766" s="63"/>
      <c r="L766" s="63"/>
      <c r="M766" s="64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6"/>
      <c r="J767" s="63"/>
      <c r="K767" s="63"/>
      <c r="L767" s="63"/>
      <c r="M767" s="64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6"/>
      <c r="J768" s="63"/>
      <c r="K768" s="63"/>
      <c r="L768" s="63"/>
      <c r="M768" s="64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6"/>
      <c r="J769" s="63"/>
      <c r="K769" s="63"/>
      <c r="L769" s="63"/>
      <c r="M769" s="64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6"/>
      <c r="J770" s="63"/>
      <c r="K770" s="63"/>
      <c r="L770" s="63"/>
      <c r="M770" s="64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6"/>
      <c r="J771" s="63"/>
      <c r="K771" s="63"/>
      <c r="L771" s="63"/>
      <c r="M771" s="64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6"/>
      <c r="J772" s="63"/>
      <c r="K772" s="63"/>
      <c r="L772" s="63"/>
      <c r="M772" s="64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6"/>
      <c r="J773" s="63"/>
      <c r="K773" s="63"/>
      <c r="L773" s="63"/>
      <c r="M773" s="64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6"/>
      <c r="J774" s="63"/>
      <c r="K774" s="63"/>
      <c r="L774" s="63"/>
      <c r="M774" s="64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6"/>
      <c r="J775" s="63"/>
      <c r="K775" s="63"/>
      <c r="L775" s="63"/>
      <c r="M775" s="64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6"/>
      <c r="J776" s="63"/>
      <c r="K776" s="63"/>
      <c r="L776" s="63"/>
      <c r="M776" s="64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6"/>
      <c r="J777" s="63"/>
      <c r="K777" s="63"/>
      <c r="L777" s="63"/>
      <c r="M777" s="64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6"/>
      <c r="J778" s="63"/>
      <c r="K778" s="63"/>
      <c r="L778" s="63"/>
      <c r="M778" s="64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6"/>
      <c r="J779" s="63"/>
      <c r="K779" s="63"/>
      <c r="L779" s="63"/>
      <c r="M779" s="64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6"/>
      <c r="J780" s="63"/>
      <c r="K780" s="63"/>
      <c r="L780" s="63"/>
      <c r="M780" s="64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6"/>
      <c r="J781" s="63"/>
      <c r="K781" s="63"/>
      <c r="L781" s="63"/>
      <c r="M781" s="64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6"/>
      <c r="J782" s="63"/>
      <c r="K782" s="63"/>
      <c r="L782" s="63"/>
      <c r="M782" s="64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6"/>
      <c r="J783" s="63"/>
      <c r="K783" s="63"/>
      <c r="L783" s="63"/>
      <c r="M783" s="64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6"/>
      <c r="J784" s="63"/>
      <c r="K784" s="63"/>
      <c r="L784" s="63"/>
      <c r="M784" s="64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6"/>
      <c r="J785" s="63"/>
      <c r="K785" s="63"/>
      <c r="L785" s="63"/>
      <c r="M785" s="64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6"/>
      <c r="J786" s="63"/>
      <c r="K786" s="63"/>
      <c r="L786" s="63"/>
      <c r="M786" s="64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6"/>
      <c r="J787" s="63"/>
      <c r="K787" s="63"/>
      <c r="L787" s="63"/>
      <c r="M787" s="64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6"/>
      <c r="J788" s="63"/>
      <c r="K788" s="63"/>
      <c r="L788" s="63"/>
      <c r="M788" s="64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6"/>
      <c r="J789" s="63"/>
      <c r="K789" s="63"/>
      <c r="L789" s="63"/>
      <c r="M789" s="64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6"/>
      <c r="J790" s="63"/>
      <c r="K790" s="63"/>
      <c r="L790" s="63"/>
      <c r="M790" s="64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6"/>
      <c r="J791" s="63"/>
      <c r="K791" s="63"/>
      <c r="L791" s="63"/>
      <c r="M791" s="64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6"/>
      <c r="J792" s="63"/>
      <c r="K792" s="63"/>
      <c r="L792" s="63"/>
      <c r="M792" s="64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6"/>
      <c r="J793" s="63"/>
      <c r="K793" s="63"/>
      <c r="L793" s="63"/>
      <c r="M793" s="64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6"/>
      <c r="J794" s="63"/>
      <c r="K794" s="63"/>
      <c r="L794" s="63"/>
      <c r="M794" s="64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6"/>
      <c r="J795" s="63"/>
      <c r="K795" s="63"/>
      <c r="L795" s="63"/>
      <c r="M795" s="64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6"/>
      <c r="J796" s="63"/>
      <c r="K796" s="63"/>
      <c r="L796" s="63"/>
      <c r="M796" s="64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6"/>
      <c r="J797" s="63"/>
      <c r="K797" s="63"/>
      <c r="L797" s="63"/>
      <c r="M797" s="64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6"/>
      <c r="J798" s="63"/>
      <c r="K798" s="63"/>
      <c r="L798" s="63"/>
      <c r="M798" s="64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6"/>
      <c r="J799" s="63"/>
      <c r="K799" s="63"/>
      <c r="L799" s="63"/>
      <c r="M799" s="64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6"/>
      <c r="J800" s="63"/>
      <c r="K800" s="63"/>
      <c r="L800" s="63"/>
      <c r="M800" s="64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6"/>
      <c r="J801" s="63"/>
      <c r="K801" s="63"/>
      <c r="L801" s="63"/>
      <c r="M801" s="64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6"/>
      <c r="J802" s="63"/>
      <c r="K802" s="63"/>
      <c r="L802" s="63"/>
      <c r="M802" s="64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6"/>
      <c r="J803" s="63"/>
      <c r="K803" s="63"/>
      <c r="L803" s="63"/>
      <c r="M803" s="64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6"/>
      <c r="J804" s="63"/>
      <c r="K804" s="63"/>
      <c r="L804" s="63"/>
      <c r="M804" s="64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6"/>
      <c r="J805" s="63"/>
      <c r="K805" s="63"/>
      <c r="L805" s="63"/>
      <c r="M805" s="64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6"/>
      <c r="J806" s="63"/>
      <c r="K806" s="63"/>
      <c r="L806" s="63"/>
      <c r="M806" s="64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6"/>
      <c r="J807" s="63"/>
      <c r="K807" s="63"/>
      <c r="L807" s="63"/>
      <c r="M807" s="64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6"/>
      <c r="J808" s="63"/>
      <c r="K808" s="63"/>
      <c r="L808" s="63"/>
      <c r="M808" s="64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6"/>
      <c r="J809" s="63"/>
      <c r="K809" s="63"/>
      <c r="L809" s="63"/>
      <c r="M809" s="64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6"/>
      <c r="J810" s="63"/>
      <c r="K810" s="63"/>
      <c r="L810" s="63"/>
      <c r="M810" s="64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6"/>
      <c r="J811" s="63"/>
      <c r="K811" s="63"/>
      <c r="L811" s="63"/>
      <c r="M811" s="64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6"/>
      <c r="J812" s="63"/>
      <c r="K812" s="63"/>
      <c r="L812" s="63"/>
      <c r="M812" s="64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6"/>
      <c r="J813" s="63"/>
      <c r="K813" s="63"/>
      <c r="L813" s="63"/>
      <c r="M813" s="64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6"/>
      <c r="J814" s="63"/>
      <c r="K814" s="63"/>
      <c r="L814" s="63"/>
      <c r="M814" s="64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6"/>
      <c r="J815" s="63"/>
      <c r="K815" s="63"/>
      <c r="L815" s="63"/>
      <c r="M815" s="64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6"/>
      <c r="J816" s="63"/>
      <c r="K816" s="63"/>
      <c r="L816" s="63"/>
      <c r="M816" s="64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6"/>
      <c r="J817" s="63"/>
      <c r="K817" s="63"/>
      <c r="L817" s="63"/>
      <c r="M817" s="64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6"/>
      <c r="J818" s="63"/>
      <c r="K818" s="63"/>
      <c r="L818" s="63"/>
      <c r="M818" s="64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6"/>
      <c r="J819" s="63"/>
      <c r="K819" s="63"/>
      <c r="L819" s="63"/>
      <c r="M819" s="64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6"/>
      <c r="J820" s="63"/>
      <c r="K820" s="63"/>
      <c r="L820" s="63"/>
      <c r="M820" s="64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6"/>
      <c r="J821" s="63"/>
      <c r="K821" s="63"/>
      <c r="L821" s="63"/>
      <c r="M821" s="64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6"/>
      <c r="J822" s="63"/>
      <c r="K822" s="63"/>
      <c r="L822" s="63"/>
      <c r="M822" s="64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6"/>
      <c r="J823" s="63"/>
      <c r="K823" s="63"/>
      <c r="L823" s="63"/>
      <c r="M823" s="64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6"/>
      <c r="J824" s="63"/>
      <c r="K824" s="63"/>
      <c r="L824" s="63"/>
      <c r="M824" s="64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6"/>
      <c r="J825" s="63"/>
      <c r="K825" s="63"/>
      <c r="L825" s="63"/>
      <c r="M825" s="64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6"/>
      <c r="J826" s="63"/>
      <c r="K826" s="63"/>
      <c r="L826" s="63"/>
      <c r="M826" s="64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6"/>
      <c r="J827" s="63"/>
      <c r="K827" s="63"/>
      <c r="L827" s="63"/>
      <c r="M827" s="64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6"/>
      <c r="J828" s="63"/>
      <c r="K828" s="63"/>
      <c r="L828" s="63"/>
      <c r="M828" s="64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6"/>
      <c r="J829" s="63"/>
      <c r="K829" s="63"/>
      <c r="L829" s="63"/>
      <c r="M829" s="64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6"/>
      <c r="J830" s="63"/>
      <c r="K830" s="63"/>
      <c r="L830" s="63"/>
      <c r="M830" s="64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6"/>
      <c r="J831" s="63"/>
      <c r="K831" s="63"/>
      <c r="L831" s="63"/>
      <c r="M831" s="64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6"/>
      <c r="J832" s="63"/>
      <c r="K832" s="63"/>
      <c r="L832" s="63"/>
      <c r="M832" s="64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6"/>
      <c r="J833" s="63"/>
      <c r="K833" s="63"/>
      <c r="L833" s="63"/>
      <c r="M833" s="64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6"/>
      <c r="J834" s="63"/>
      <c r="K834" s="63"/>
      <c r="L834" s="63"/>
      <c r="M834" s="64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6"/>
      <c r="J835" s="63"/>
      <c r="K835" s="63"/>
      <c r="L835" s="63"/>
      <c r="M835" s="64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6"/>
      <c r="J836" s="63"/>
      <c r="K836" s="63"/>
      <c r="L836" s="63"/>
      <c r="M836" s="64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6"/>
      <c r="J837" s="63"/>
      <c r="K837" s="63"/>
      <c r="L837" s="63"/>
      <c r="M837" s="64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6"/>
      <c r="J838" s="63"/>
      <c r="K838" s="63"/>
      <c r="L838" s="63"/>
      <c r="M838" s="64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6"/>
      <c r="J839" s="63"/>
      <c r="K839" s="63"/>
      <c r="L839" s="63"/>
      <c r="M839" s="64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6"/>
      <c r="J840" s="63"/>
      <c r="K840" s="63"/>
      <c r="L840" s="63"/>
      <c r="M840" s="64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6"/>
      <c r="J841" s="63"/>
      <c r="K841" s="63"/>
      <c r="L841" s="63"/>
      <c r="M841" s="64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6"/>
      <c r="J842" s="63"/>
      <c r="K842" s="63"/>
      <c r="L842" s="63"/>
      <c r="M842" s="64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6"/>
      <c r="J843" s="63"/>
      <c r="K843" s="63"/>
      <c r="L843" s="63"/>
      <c r="M843" s="64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6"/>
      <c r="J844" s="63"/>
      <c r="K844" s="63"/>
      <c r="L844" s="63"/>
      <c r="M844" s="64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6"/>
      <c r="J845" s="63"/>
      <c r="K845" s="63"/>
      <c r="L845" s="63"/>
      <c r="M845" s="64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6"/>
      <c r="J846" s="63"/>
      <c r="K846" s="63"/>
      <c r="L846" s="63"/>
      <c r="M846" s="64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6"/>
      <c r="J847" s="63"/>
      <c r="K847" s="63"/>
      <c r="L847" s="63"/>
      <c r="M847" s="64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6"/>
      <c r="J848" s="63"/>
      <c r="K848" s="63"/>
      <c r="L848" s="63"/>
      <c r="M848" s="64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6"/>
      <c r="J849" s="63"/>
      <c r="K849" s="63"/>
      <c r="L849" s="63"/>
      <c r="M849" s="64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6"/>
      <c r="J850" s="63"/>
      <c r="K850" s="63"/>
      <c r="L850" s="63"/>
      <c r="M850" s="64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6"/>
      <c r="J851" s="63"/>
      <c r="K851" s="63"/>
      <c r="L851" s="63"/>
      <c r="M851" s="64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6"/>
      <c r="J852" s="63"/>
      <c r="K852" s="63"/>
      <c r="L852" s="63"/>
      <c r="M852" s="64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6"/>
      <c r="J853" s="63"/>
      <c r="K853" s="63"/>
      <c r="L853" s="63"/>
      <c r="M853" s="64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6"/>
      <c r="J854" s="63"/>
      <c r="K854" s="63"/>
      <c r="L854" s="63"/>
      <c r="M854" s="64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6"/>
      <c r="J855" s="63"/>
      <c r="K855" s="63"/>
      <c r="L855" s="63"/>
      <c r="M855" s="64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6"/>
      <c r="J856" s="63"/>
      <c r="K856" s="63"/>
      <c r="L856" s="63"/>
      <c r="M856" s="64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6"/>
      <c r="J857" s="63"/>
      <c r="K857" s="63"/>
      <c r="L857" s="63"/>
      <c r="M857" s="64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6"/>
      <c r="J858" s="63"/>
      <c r="K858" s="63"/>
      <c r="L858" s="63"/>
      <c r="M858" s="64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6"/>
      <c r="J859" s="63"/>
      <c r="K859" s="63"/>
      <c r="L859" s="63"/>
      <c r="M859" s="64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6"/>
      <c r="J860" s="63"/>
      <c r="K860" s="63"/>
      <c r="L860" s="63"/>
      <c r="M860" s="64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6"/>
      <c r="J861" s="63"/>
      <c r="K861" s="63"/>
      <c r="L861" s="63"/>
      <c r="M861" s="64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6"/>
      <c r="J862" s="63"/>
      <c r="K862" s="63"/>
      <c r="L862" s="63"/>
      <c r="M862" s="64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6"/>
      <c r="J863" s="63"/>
      <c r="K863" s="63"/>
      <c r="L863" s="63"/>
      <c r="M863" s="64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6"/>
      <c r="J864" s="63"/>
      <c r="K864" s="63"/>
      <c r="L864" s="63"/>
      <c r="M864" s="64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6"/>
      <c r="J865" s="63"/>
      <c r="K865" s="63"/>
      <c r="L865" s="63"/>
      <c r="M865" s="64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6"/>
      <c r="J866" s="63"/>
      <c r="K866" s="63"/>
      <c r="L866" s="63"/>
      <c r="M866" s="64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6"/>
      <c r="J867" s="63"/>
      <c r="K867" s="63"/>
      <c r="L867" s="63"/>
      <c r="M867" s="64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6"/>
      <c r="J868" s="63"/>
      <c r="K868" s="63"/>
      <c r="L868" s="63"/>
      <c r="M868" s="64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6"/>
      <c r="J869" s="63"/>
      <c r="K869" s="63"/>
      <c r="L869" s="63"/>
      <c r="M869" s="64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6"/>
      <c r="J870" s="63"/>
      <c r="K870" s="63"/>
      <c r="L870" s="63"/>
      <c r="M870" s="64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6"/>
      <c r="J871" s="63"/>
      <c r="K871" s="63"/>
      <c r="L871" s="63"/>
      <c r="M871" s="64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6"/>
      <c r="J872" s="63"/>
      <c r="K872" s="63"/>
      <c r="L872" s="63"/>
      <c r="M872" s="64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6"/>
      <c r="J873" s="63"/>
      <c r="K873" s="63"/>
      <c r="L873" s="63"/>
      <c r="M873" s="64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6"/>
      <c r="J874" s="63"/>
      <c r="K874" s="63"/>
      <c r="L874" s="63"/>
      <c r="M874" s="64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6"/>
      <c r="J875" s="63"/>
      <c r="K875" s="63"/>
      <c r="L875" s="63"/>
      <c r="M875" s="64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6"/>
      <c r="J876" s="63"/>
      <c r="K876" s="63"/>
      <c r="L876" s="63"/>
      <c r="M876" s="64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6"/>
      <c r="J877" s="63"/>
      <c r="K877" s="63"/>
      <c r="L877" s="63"/>
      <c r="M877" s="64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6"/>
      <c r="J878" s="63"/>
      <c r="K878" s="63"/>
      <c r="L878" s="63"/>
      <c r="M878" s="64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6"/>
      <c r="J879" s="63"/>
      <c r="K879" s="63"/>
      <c r="L879" s="63"/>
      <c r="M879" s="64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6"/>
      <c r="J880" s="63"/>
      <c r="K880" s="63"/>
      <c r="L880" s="63"/>
      <c r="M880" s="64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6"/>
      <c r="J881" s="63"/>
      <c r="K881" s="63"/>
      <c r="L881" s="63"/>
      <c r="M881" s="64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6"/>
      <c r="J882" s="63"/>
      <c r="K882" s="63"/>
      <c r="L882" s="63"/>
      <c r="M882" s="64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6"/>
      <c r="J883" s="63"/>
      <c r="K883" s="63"/>
      <c r="L883" s="63"/>
      <c r="M883" s="64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6"/>
      <c r="J884" s="63"/>
      <c r="K884" s="63"/>
      <c r="L884" s="63"/>
      <c r="M884" s="64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6"/>
      <c r="J885" s="63"/>
      <c r="K885" s="63"/>
      <c r="L885" s="63"/>
      <c r="M885" s="64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6"/>
      <c r="J886" s="63"/>
      <c r="K886" s="63"/>
      <c r="L886" s="63"/>
      <c r="M886" s="64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6"/>
      <c r="J887" s="63"/>
      <c r="K887" s="63"/>
      <c r="L887" s="63"/>
      <c r="M887" s="64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6"/>
      <c r="J888" s="63"/>
      <c r="K888" s="63"/>
      <c r="L888" s="63"/>
      <c r="M888" s="64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6"/>
      <c r="J889" s="63"/>
      <c r="K889" s="63"/>
      <c r="L889" s="63"/>
      <c r="M889" s="64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6"/>
      <c r="J890" s="63"/>
      <c r="K890" s="63"/>
      <c r="L890" s="63"/>
      <c r="M890" s="64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6"/>
      <c r="J891" s="63"/>
      <c r="K891" s="63"/>
      <c r="L891" s="63"/>
      <c r="M891" s="64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6"/>
      <c r="J892" s="63"/>
      <c r="K892" s="63"/>
      <c r="L892" s="63"/>
      <c r="M892" s="64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6"/>
      <c r="J893" s="63"/>
      <c r="K893" s="63"/>
      <c r="L893" s="63"/>
      <c r="M893" s="64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6"/>
      <c r="J894" s="63"/>
      <c r="K894" s="63"/>
      <c r="L894" s="63"/>
      <c r="M894" s="64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6"/>
      <c r="J895" s="63"/>
      <c r="K895" s="63"/>
      <c r="L895" s="63"/>
      <c r="M895" s="64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6"/>
      <c r="J896" s="63"/>
      <c r="K896" s="63"/>
      <c r="L896" s="63"/>
      <c r="M896" s="64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6"/>
      <c r="J897" s="63"/>
      <c r="K897" s="63"/>
      <c r="L897" s="63"/>
      <c r="M897" s="64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6"/>
      <c r="J898" s="63"/>
      <c r="K898" s="63"/>
      <c r="L898" s="63"/>
      <c r="M898" s="64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6"/>
      <c r="J899" s="63"/>
      <c r="K899" s="63"/>
      <c r="L899" s="63"/>
      <c r="M899" s="64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6"/>
      <c r="J900" s="63"/>
      <c r="K900" s="63"/>
      <c r="L900" s="63"/>
      <c r="M900" s="64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6"/>
      <c r="J901" s="63"/>
      <c r="K901" s="63"/>
      <c r="L901" s="63"/>
      <c r="M901" s="64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6"/>
      <c r="J902" s="63"/>
      <c r="K902" s="63"/>
      <c r="L902" s="63"/>
      <c r="M902" s="64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6"/>
      <c r="J903" s="63"/>
      <c r="K903" s="63"/>
      <c r="L903" s="63"/>
      <c r="M903" s="64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6"/>
      <c r="J904" s="63"/>
      <c r="K904" s="63"/>
      <c r="L904" s="63"/>
      <c r="M904" s="64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6"/>
      <c r="J905" s="63"/>
      <c r="K905" s="63"/>
      <c r="L905" s="63"/>
      <c r="M905" s="64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6"/>
      <c r="J906" s="63"/>
      <c r="K906" s="63"/>
      <c r="L906" s="63"/>
      <c r="M906" s="64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6"/>
      <c r="J907" s="63"/>
      <c r="K907" s="63"/>
      <c r="L907" s="63"/>
      <c r="M907" s="64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6"/>
      <c r="J908" s="63"/>
      <c r="K908" s="63"/>
      <c r="L908" s="63"/>
      <c r="M908" s="64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6"/>
      <c r="J909" s="63"/>
      <c r="K909" s="63"/>
      <c r="L909" s="63"/>
      <c r="M909" s="64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6"/>
      <c r="J910" s="63"/>
      <c r="K910" s="63"/>
      <c r="L910" s="63"/>
      <c r="M910" s="64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6"/>
      <c r="J911" s="63"/>
      <c r="K911" s="63"/>
      <c r="L911" s="63"/>
      <c r="M911" s="64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6"/>
      <c r="J912" s="63"/>
      <c r="K912" s="63"/>
      <c r="L912" s="63"/>
      <c r="M912" s="64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6"/>
      <c r="J913" s="63"/>
      <c r="K913" s="63"/>
      <c r="L913" s="63"/>
      <c r="M913" s="64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6"/>
      <c r="J914" s="63"/>
      <c r="K914" s="63"/>
      <c r="L914" s="63"/>
      <c r="M914" s="64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6"/>
      <c r="J915" s="63"/>
      <c r="K915" s="63"/>
      <c r="L915" s="63"/>
      <c r="M915" s="64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6"/>
      <c r="J916" s="63"/>
      <c r="K916" s="63"/>
      <c r="L916" s="63"/>
      <c r="M916" s="64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6"/>
      <c r="J917" s="63"/>
      <c r="K917" s="63"/>
      <c r="L917" s="63"/>
      <c r="M917" s="64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6"/>
      <c r="J918" s="63"/>
      <c r="K918" s="63"/>
      <c r="L918" s="63"/>
      <c r="M918" s="64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6"/>
      <c r="J919" s="63"/>
      <c r="K919" s="63"/>
      <c r="L919" s="63"/>
      <c r="M919" s="64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6"/>
      <c r="J920" s="63"/>
      <c r="K920" s="63"/>
      <c r="L920" s="63"/>
      <c r="M920" s="64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6"/>
      <c r="J921" s="63"/>
      <c r="K921" s="63"/>
      <c r="L921" s="63"/>
      <c r="M921" s="64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6"/>
      <c r="J922" s="63"/>
      <c r="K922" s="63"/>
      <c r="L922" s="63"/>
      <c r="M922" s="64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6"/>
      <c r="J923" s="63"/>
      <c r="K923" s="63"/>
      <c r="L923" s="63"/>
      <c r="M923" s="64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6"/>
      <c r="J924" s="63"/>
      <c r="K924" s="63"/>
      <c r="L924" s="63"/>
      <c r="M924" s="64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6"/>
      <c r="J925" s="63"/>
      <c r="K925" s="63"/>
      <c r="L925" s="63"/>
      <c r="M925" s="64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6"/>
      <c r="J926" s="63"/>
      <c r="K926" s="63"/>
      <c r="L926" s="63"/>
      <c r="M926" s="64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6"/>
      <c r="J927" s="63"/>
      <c r="K927" s="63"/>
      <c r="L927" s="63"/>
      <c r="M927" s="64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6"/>
      <c r="J928" s="63"/>
      <c r="K928" s="63"/>
      <c r="L928" s="63"/>
      <c r="M928" s="64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6"/>
      <c r="J929" s="63"/>
      <c r="K929" s="63"/>
      <c r="L929" s="63"/>
      <c r="M929" s="64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6"/>
      <c r="J930" s="63"/>
      <c r="K930" s="63"/>
      <c r="L930" s="63"/>
      <c r="M930" s="64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6"/>
      <c r="J931" s="63"/>
      <c r="K931" s="63"/>
      <c r="L931" s="63"/>
      <c r="M931" s="64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6"/>
      <c r="J932" s="63"/>
      <c r="K932" s="63"/>
      <c r="L932" s="63"/>
      <c r="M932" s="64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6"/>
      <c r="J933" s="63"/>
      <c r="K933" s="63"/>
      <c r="L933" s="63"/>
      <c r="M933" s="64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6"/>
      <c r="J934" s="63"/>
      <c r="K934" s="63"/>
      <c r="L934" s="63"/>
      <c r="M934" s="64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6"/>
      <c r="J935" s="63"/>
      <c r="K935" s="63"/>
      <c r="L935" s="63"/>
      <c r="M935" s="64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6"/>
      <c r="J936" s="63"/>
      <c r="K936" s="63"/>
      <c r="L936" s="63"/>
      <c r="M936" s="64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6"/>
      <c r="J937" s="63"/>
      <c r="K937" s="63"/>
      <c r="L937" s="63"/>
      <c r="M937" s="64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6"/>
      <c r="J938" s="63"/>
      <c r="K938" s="63"/>
      <c r="L938" s="63"/>
      <c r="M938" s="64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6"/>
      <c r="J939" s="63"/>
      <c r="K939" s="63"/>
      <c r="L939" s="63"/>
      <c r="M939" s="64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6"/>
      <c r="J940" s="63"/>
      <c r="K940" s="63"/>
      <c r="L940" s="63"/>
      <c r="M940" s="64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6"/>
      <c r="J941" s="63"/>
      <c r="K941" s="63"/>
      <c r="L941" s="63"/>
      <c r="M941" s="64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6"/>
      <c r="J942" s="63"/>
      <c r="K942" s="63"/>
      <c r="L942" s="63"/>
      <c r="M942" s="64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6"/>
      <c r="J943" s="63"/>
      <c r="K943" s="63"/>
      <c r="L943" s="63"/>
      <c r="M943" s="64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6"/>
      <c r="J944" s="63"/>
      <c r="K944" s="63"/>
      <c r="L944" s="63"/>
      <c r="M944" s="64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6"/>
      <c r="J945" s="63"/>
      <c r="K945" s="63"/>
      <c r="L945" s="63"/>
      <c r="M945" s="64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6"/>
      <c r="J946" s="63"/>
      <c r="K946" s="63"/>
      <c r="L946" s="63"/>
      <c r="M946" s="64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6"/>
      <c r="J947" s="63"/>
      <c r="K947" s="63"/>
      <c r="L947" s="63"/>
      <c r="M947" s="64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6"/>
      <c r="J948" s="63"/>
      <c r="K948" s="63"/>
      <c r="L948" s="63"/>
      <c r="M948" s="64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6"/>
      <c r="J949" s="63"/>
      <c r="K949" s="63"/>
      <c r="L949" s="63"/>
      <c r="M949" s="64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6"/>
      <c r="J950" s="63"/>
      <c r="K950" s="63"/>
      <c r="L950" s="63"/>
      <c r="M950" s="64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6"/>
      <c r="J951" s="63"/>
      <c r="K951" s="63"/>
      <c r="L951" s="63"/>
      <c r="M951" s="64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6"/>
      <c r="J952" s="63"/>
      <c r="K952" s="63"/>
      <c r="L952" s="63"/>
      <c r="M952" s="64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6"/>
      <c r="J953" s="63"/>
      <c r="K953" s="63"/>
      <c r="L953" s="63"/>
      <c r="M953" s="64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6"/>
      <c r="J954" s="63"/>
      <c r="K954" s="63"/>
      <c r="L954" s="63"/>
      <c r="M954" s="64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6"/>
      <c r="J955" s="63"/>
      <c r="K955" s="63"/>
      <c r="L955" s="63"/>
      <c r="M955" s="64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6"/>
      <c r="J956" s="63"/>
      <c r="K956" s="63"/>
      <c r="L956" s="63"/>
      <c r="M956" s="64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6"/>
      <c r="J957" s="63"/>
      <c r="K957" s="63"/>
      <c r="L957" s="63"/>
      <c r="M957" s="64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6"/>
      <c r="J958" s="63"/>
      <c r="K958" s="63"/>
      <c r="L958" s="63"/>
      <c r="M958" s="64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6"/>
      <c r="J959" s="63"/>
      <c r="K959" s="63"/>
      <c r="L959" s="63"/>
      <c r="M959" s="64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6"/>
      <c r="J960" s="63"/>
      <c r="K960" s="63"/>
      <c r="L960" s="63"/>
      <c r="M960" s="64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6"/>
      <c r="J961" s="63"/>
      <c r="K961" s="63"/>
      <c r="L961" s="63"/>
      <c r="M961" s="64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6"/>
      <c r="J962" s="63"/>
      <c r="K962" s="63"/>
      <c r="L962" s="63"/>
      <c r="M962" s="64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6"/>
      <c r="J963" s="63"/>
      <c r="K963" s="63"/>
      <c r="L963" s="63"/>
      <c r="M963" s="64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6"/>
      <c r="J964" s="63"/>
      <c r="K964" s="63"/>
      <c r="L964" s="63"/>
      <c r="M964" s="64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6"/>
      <c r="J965" s="63"/>
      <c r="K965" s="63"/>
      <c r="L965" s="63"/>
      <c r="M965" s="64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6"/>
      <c r="J966" s="63"/>
      <c r="K966" s="63"/>
      <c r="L966" s="63"/>
      <c r="M966" s="64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6"/>
      <c r="J967" s="63"/>
      <c r="K967" s="63"/>
      <c r="L967" s="63"/>
      <c r="M967" s="64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6"/>
      <c r="J968" s="63"/>
      <c r="K968" s="63"/>
      <c r="L968" s="63"/>
      <c r="M968" s="64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</sheetData>
  <mergeCells count="1">
    <mergeCell ref="A1:K2"/>
  </mergeCells>
  <dataValidations>
    <dataValidation type="custom" allowBlank="1" showDropDown="1" sqref="E10:K69">
      <formula1>OR(TIMEVALUE(TEXT(E10, "hh:mm:ss"))=E10, AND(ISNUMBER(E10), LEFT(CELL("format", E10))="D"))</formula1>
    </dataValidation>
    <dataValidation type="custom" allowBlank="1" showDropDown="1" sqref="A10:A69">
      <formula1>OR(NOT(ISERROR(DATEVALUE(A10))), AND(ISNUMBER(A10), LEFT(CELL("format", A10))="D"))</formula1>
    </dataValidation>
    <dataValidation type="custom" allowBlank="1" showDropDown="1" sqref="F6:H8 K6:K8">
      <formula1>AND(ISNUMBER(F6),(NOT(OR(NOT(ISERROR(DATEVALUE(F6))), AND(ISNUMBER(F6), LEFT(CELL("format", F6))="D")))))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75"/>
    <col customWidth="1" min="3" max="3" width="18.0"/>
    <col customWidth="1" min="4" max="4" width="13.0"/>
    <col customWidth="1" min="5" max="5" width="12.88"/>
    <col customWidth="1" min="6" max="6" width="13.38"/>
    <col customWidth="1" min="7" max="7" width="15.25"/>
    <col customWidth="1" min="8" max="8" width="17.25"/>
    <col customWidth="1" min="9" max="9" width="17.63"/>
    <col customWidth="1" min="10" max="10" width="16.63"/>
    <col customWidth="1" min="11" max="11" width="20.25"/>
    <col customWidth="1" hidden="1" min="12" max="13" width="7.63"/>
    <col customWidth="1" min="14" max="26" width="7.6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61"/>
      <c r="M1" s="62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63"/>
      <c r="M2" s="64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3"/>
      <c r="B3" s="63"/>
      <c r="C3" s="63"/>
      <c r="D3" s="63"/>
      <c r="E3" s="63"/>
      <c r="F3" s="65"/>
      <c r="G3" s="66"/>
      <c r="H3" s="66"/>
      <c r="I3" s="66"/>
      <c r="J3" s="65"/>
      <c r="K3" s="66"/>
      <c r="L3" s="63"/>
      <c r="M3" s="64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3"/>
      <c r="B4" s="63"/>
      <c r="C4" s="63"/>
      <c r="D4" s="63"/>
      <c r="E4" s="63"/>
      <c r="F4" s="65"/>
      <c r="G4" s="66"/>
      <c r="H4" s="66"/>
      <c r="I4" s="66"/>
      <c r="J4" s="65"/>
      <c r="K4" s="66"/>
      <c r="L4" s="63"/>
      <c r="M4" s="64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22.5" customHeight="1">
      <c r="A5" s="11" t="s">
        <v>34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3" t="s">
        <v>7</v>
      </c>
      <c r="H5" s="13" t="s">
        <v>8</v>
      </c>
      <c r="I5" s="13" t="s">
        <v>35</v>
      </c>
      <c r="J5" s="13" t="s">
        <v>36</v>
      </c>
      <c r="K5" s="12" t="s">
        <v>37</v>
      </c>
      <c r="L5" s="63"/>
      <c r="M5" s="64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22.5" customHeight="1">
      <c r="A6" s="21">
        <v>1.0</v>
      </c>
      <c r="B6" s="34" t="str">
        <f>VLOOKUP(A6,Employees!A:B,2,FALSE)</f>
        <v>Rajat Hela</v>
      </c>
      <c r="C6" s="34">
        <f>VLOOKUP(A6,Employees!A:C,3,FALSE)</f>
        <v>9023270731</v>
      </c>
      <c r="D6" s="34" t="str">
        <f>VLOOKUP(A6,Employees!A:D,4,FALSE)</f>
        <v>Production</v>
      </c>
      <c r="E6" s="67" t="str">
        <f>VLOOKUP(A6,Employees!A:E,5,FALSE)</f>
        <v>CNC Machine Operator</v>
      </c>
      <c r="F6" s="68">
        <f>VLOOKUP(A6,Employees!A:F,6,FALSE)</f>
        <v>17000</v>
      </c>
      <c r="G6" s="69">
        <f>VLOOKUP(A6,Employees!A:G,7,FALSE)</f>
        <v>653.8461538</v>
      </c>
      <c r="H6" s="69">
        <f>VLOOKUP(A6,Employees!A:H,8,FALSE)</f>
        <v>59.44055944</v>
      </c>
      <c r="I6" s="70">
        <f>SUMIFS('06-2026'!$L$11:$L$252,
        '06-2026'!$B$11:$B$252,
        $A6)</f>
        <v>42</v>
      </c>
      <c r="J6" s="70">
        <f>SUMIFS('06-2026'!$M$11:$M$252,
        '06-2026'!$B$11:$B$252,
        $A6)</f>
        <v>0</v>
      </c>
      <c r="K6" s="71">
        <f>('06-2026'!$I6+'06-2026'!$J6)*'06-2026'!$H6</f>
        <v>2496.503497</v>
      </c>
      <c r="L6" s="63"/>
      <c r="M6" s="64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22.5" customHeight="1">
      <c r="A7" s="21">
        <v>2.0</v>
      </c>
      <c r="B7" s="34" t="str">
        <f>VLOOKUP(A7,Employees!A:B,2,FALSE)</f>
        <v>Umesh Kumar</v>
      </c>
      <c r="C7" s="34" t="str">
        <f>VLOOKUP(A7,Employees!A:C,3,FALSE)</f>
        <v/>
      </c>
      <c r="D7" s="34" t="str">
        <f>VLOOKUP(A7,Employees!A:D,4,FALSE)</f>
        <v>Production</v>
      </c>
      <c r="E7" s="67" t="str">
        <f>VLOOKUP(A7,Employees!A:E,5,FALSE)</f>
        <v>CNC Machine Operator</v>
      </c>
      <c r="F7" s="68">
        <f>VLOOKUP(A7,Employees!A:F,6,FALSE)</f>
        <v>18000</v>
      </c>
      <c r="G7" s="69">
        <f>VLOOKUP(A7,Employees!A:G,7,FALSE)</f>
        <v>692.3076923</v>
      </c>
      <c r="H7" s="69">
        <f>VLOOKUP(A7,Employees!A:H,8,FALSE)</f>
        <v>62.93706294</v>
      </c>
      <c r="I7" s="70">
        <f>SUMIFS('06-2026'!$L$11:$L$252,
        '06-2026'!$B$11:$B$252,
        $A7)</f>
        <v>0</v>
      </c>
      <c r="J7" s="70">
        <f>SUMIFS('06-2026'!$M$11:$M$252,
        '06-2026'!$B$11:$B$252,
        $A7)</f>
        <v>0</v>
      </c>
      <c r="K7" s="71">
        <f>('06-2026'!$I7+'06-2026'!$J7)*'06-2026'!$H7</f>
        <v>0</v>
      </c>
      <c r="L7" s="63"/>
      <c r="M7" s="64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22.5" customHeight="1">
      <c r="A8" s="21">
        <v>3.0</v>
      </c>
      <c r="B8" s="34" t="str">
        <f>VLOOKUP(A8,Employees!A:B,2,FALSE)</f>
        <v>Ranjan Kumar</v>
      </c>
      <c r="C8" s="34">
        <f>VLOOKUP(A8,Employees!A:C,3,FALSE)</f>
        <v>6206577886</v>
      </c>
      <c r="D8" s="34" t="str">
        <f>VLOOKUP(A8,Employees!A:D,4,FALSE)</f>
        <v>Production</v>
      </c>
      <c r="E8" s="67" t="str">
        <f>VLOOKUP(A8,Employees!A:E,5,FALSE)</f>
        <v>CNC Machine Operator</v>
      </c>
      <c r="F8" s="68">
        <f>VLOOKUP(A8,Employees!A:F,6,FALSE)</f>
        <v>21000</v>
      </c>
      <c r="G8" s="69">
        <f>VLOOKUP(A8,Employees!A:G,7,FALSE)</f>
        <v>807.6923077</v>
      </c>
      <c r="H8" s="69">
        <f>VLOOKUP(A8,Employees!A:H,8,FALSE)</f>
        <v>73.42657343</v>
      </c>
      <c r="I8" s="70">
        <f>SUMIFS('06-2026'!$L$11:$L$252,
        '06-2026'!$B$11:$B$252,
        $A8)</f>
        <v>142.3</v>
      </c>
      <c r="J8" s="70">
        <f>SUMIFS('06-2026'!$M$11:$M$252,
        '06-2026'!$B$11:$B$252,
        $A8)</f>
        <v>17.3</v>
      </c>
      <c r="K8" s="71">
        <f>('06-2026'!$I8+'06-2026'!$J8)*'06-2026'!$H8</f>
        <v>11718.88112</v>
      </c>
      <c r="L8" s="63"/>
      <c r="M8" s="64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22.5" customHeight="1">
      <c r="A9" s="21"/>
      <c r="B9" s="118"/>
      <c r="C9" s="34"/>
      <c r="D9" s="34"/>
      <c r="E9" s="67"/>
      <c r="F9" s="106"/>
      <c r="G9" s="69"/>
      <c r="H9" s="69"/>
      <c r="I9" s="70"/>
      <c r="J9" s="70"/>
      <c r="K9" s="71"/>
      <c r="L9" s="63"/>
      <c r="M9" s="64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22.5" customHeight="1">
      <c r="A10" s="107" t="s">
        <v>15</v>
      </c>
      <c r="B10" s="107" t="s">
        <v>1</v>
      </c>
      <c r="C10" s="107" t="s">
        <v>2</v>
      </c>
      <c r="D10" s="108" t="s">
        <v>38</v>
      </c>
      <c r="E10" s="108" t="s">
        <v>39</v>
      </c>
      <c r="F10" s="108" t="s">
        <v>40</v>
      </c>
      <c r="G10" s="108" t="s">
        <v>41</v>
      </c>
      <c r="H10" s="109" t="s">
        <v>42</v>
      </c>
      <c r="I10" s="109" t="s">
        <v>43</v>
      </c>
      <c r="J10" s="107" t="s">
        <v>44</v>
      </c>
      <c r="K10" s="109" t="s">
        <v>45</v>
      </c>
      <c r="L10" s="21" t="s">
        <v>46</v>
      </c>
      <c r="M10" s="21" t="s">
        <v>47</v>
      </c>
      <c r="N10" s="76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22.5" customHeight="1">
      <c r="A11" s="110"/>
      <c r="B11" s="111"/>
      <c r="C11" s="111"/>
      <c r="D11" s="112"/>
      <c r="E11" s="113"/>
      <c r="F11" s="113"/>
      <c r="G11" s="113"/>
      <c r="H11" s="114"/>
      <c r="I11" s="114"/>
      <c r="J11" s="115"/>
      <c r="K11" s="114"/>
      <c r="L11" s="116" t="str">
        <f t="shared" ref="L11:M11" si="1">IF(J11="","",
   IFERROR(
      HOUR(J11)+MINUTE(J11)/100,
      HOUR(TIMEVALUE(SUBSTITUTE(J11,CHAR(160),"")))
      +MINUTE(TIMEVALUE(SUBSTITUTE(J11,CHAR(160),"")))/100
   )
)
</f>
        <v/>
      </c>
      <c r="M11" s="116" t="str">
        <f t="shared" si="1"/>
        <v/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22.5" customHeight="1">
      <c r="A12" s="117">
        <v>46174.0</v>
      </c>
      <c r="B12" s="118">
        <v>1.0</v>
      </c>
      <c r="C12" s="111" t="str">
        <f>VLOOKUP(B12,Employees!A:B,2,FALSE)</f>
        <v>Rajat Hela</v>
      </c>
      <c r="D12" s="119">
        <v>0.3333333333333333</v>
      </c>
      <c r="E12" s="120">
        <v>0.5416666666666666</v>
      </c>
      <c r="F12" s="121">
        <v>0.5833333333333334</v>
      </c>
      <c r="G12" s="121">
        <v>0.8333333333333334</v>
      </c>
      <c r="H12" s="114">
        <f t="shared" ref="H12:H28" si="2">F12 - E12</f>
        <v>0.04166666667</v>
      </c>
      <c r="I12" s="114">
        <f t="shared" ref="I12:I28" si="3">G12 - D12</f>
        <v>0.5</v>
      </c>
      <c r="J12" s="115">
        <f t="shared" ref="J12:J28" si="4">I12 - H12</f>
        <v>0.4583333333</v>
      </c>
      <c r="K12" s="114">
        <f t="shared" ref="K12:K28" si="5">MAX(
  0,
  MOD(
    IFERROR(
      J12,
      TIMEVALUE(SUBSTITUTE(J12,CHAR(160),""))
    ),
    1
  ) - TIME(11,0,0)
)
</f>
        <v>0</v>
      </c>
      <c r="L12" s="116">
        <f t="shared" ref="L12:L67" si="6">IF(J12="","",
   IFERROR(
      HOUR(MIN(MOD(J12,1), TIME(11,0,0))) +
      MINUTE(MIN(MOD(J12,1), TIME(11,0,0)))/100,
      HOUR(MIN(MOD(TIMEVALUE(SUBSTITUTE(J12,CHAR(160),"")),1), TIME(11,0,0))) +
      MINUTE(MIN(MOD(TIMEVALUE(SUBSTITUTE(J12,CHAR(160),"")),1), TIME(11,0,0)))/100
   )
)
</f>
        <v>11</v>
      </c>
      <c r="M12" s="116">
        <f t="shared" ref="M12:M67" si="7">IF(K12="","",
   IFERROR(
      HOUR(K12)+MINUTE(K12)/100,
      HOUR(TIMEVALUE(SUBSTITUTE(K12,CHAR(160),"")))
      +MINUTE(TIMEVALUE(SUBSTITUTE(K12,CHAR(160),"")))/100
   )
)
</f>
        <v>0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22.5" customHeight="1">
      <c r="A13" s="117"/>
      <c r="B13" s="118">
        <v>3.0</v>
      </c>
      <c r="C13" s="111" t="str">
        <f>VLOOKUP(B13,Employees!A:B,2,FALSE)</f>
        <v>Ranjan Kumar</v>
      </c>
      <c r="D13" s="121">
        <v>0.8333333333333334</v>
      </c>
      <c r="E13" s="120"/>
      <c r="F13" s="121"/>
      <c r="G13" s="121">
        <v>0.2916666666666667</v>
      </c>
      <c r="H13" s="114">
        <f t="shared" si="2"/>
        <v>0</v>
      </c>
      <c r="I13" s="114">
        <f t="shared" si="3"/>
        <v>-0.5416666667</v>
      </c>
      <c r="J13" s="115">
        <f t="shared" si="4"/>
        <v>-0.5416666667</v>
      </c>
      <c r="K13" s="114">
        <f t="shared" si="5"/>
        <v>0</v>
      </c>
      <c r="L13" s="116">
        <f t="shared" si="6"/>
        <v>11</v>
      </c>
      <c r="M13" s="116">
        <f t="shared" si="7"/>
        <v>0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22.5" customHeight="1">
      <c r="A14" s="117">
        <v>46175.0</v>
      </c>
      <c r="B14" s="118">
        <v>1.0</v>
      </c>
      <c r="C14" s="111" t="str">
        <f>VLOOKUP(B14,Employees!A:B,2,FALSE)</f>
        <v>Rajat Hela</v>
      </c>
      <c r="D14" s="119">
        <v>0.3333333333333333</v>
      </c>
      <c r="E14" s="120">
        <v>0.5416666666666666</v>
      </c>
      <c r="F14" s="121">
        <v>0.5833333333333334</v>
      </c>
      <c r="G14" s="121">
        <v>0.8333333333333334</v>
      </c>
      <c r="H14" s="114">
        <f t="shared" si="2"/>
        <v>0.04166666667</v>
      </c>
      <c r="I14" s="114">
        <f t="shared" si="3"/>
        <v>0.5</v>
      </c>
      <c r="J14" s="115">
        <f t="shared" si="4"/>
        <v>0.4583333333</v>
      </c>
      <c r="K14" s="114">
        <f t="shared" si="5"/>
        <v>0</v>
      </c>
      <c r="L14" s="116">
        <f t="shared" si="6"/>
        <v>11</v>
      </c>
      <c r="M14" s="116">
        <f t="shared" si="7"/>
        <v>0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22.5" customHeight="1">
      <c r="A15" s="117"/>
      <c r="B15" s="118">
        <v>3.0</v>
      </c>
      <c r="C15" s="111" t="str">
        <f>VLOOKUP(B15,Employees!A:B,2,FALSE)</f>
        <v>Ranjan Kumar</v>
      </c>
      <c r="D15" s="121">
        <v>0.8333333333333334</v>
      </c>
      <c r="E15" s="120"/>
      <c r="F15" s="121"/>
      <c r="G15" s="121">
        <v>0.3333333333333333</v>
      </c>
      <c r="H15" s="114">
        <f t="shared" si="2"/>
        <v>0</v>
      </c>
      <c r="I15" s="114">
        <f t="shared" si="3"/>
        <v>-0.5</v>
      </c>
      <c r="J15" s="115">
        <f t="shared" si="4"/>
        <v>-0.5</v>
      </c>
      <c r="K15" s="114">
        <f t="shared" si="5"/>
        <v>0.04166666667</v>
      </c>
      <c r="L15" s="116">
        <f t="shared" si="6"/>
        <v>11</v>
      </c>
      <c r="M15" s="116">
        <f t="shared" si="7"/>
        <v>1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22.5" customHeight="1">
      <c r="A16" s="117">
        <v>46176.0</v>
      </c>
      <c r="B16" s="118">
        <v>3.0</v>
      </c>
      <c r="C16" s="111" t="str">
        <f>VLOOKUP(B16,Employees!A:B,2,FALSE)</f>
        <v>Ranjan Kumar</v>
      </c>
      <c r="D16" s="119">
        <v>0.3333333333333333</v>
      </c>
      <c r="E16" s="120"/>
      <c r="F16" s="121"/>
      <c r="G16" s="121">
        <v>0.6875</v>
      </c>
      <c r="H16" s="114">
        <f t="shared" si="2"/>
        <v>0</v>
      </c>
      <c r="I16" s="114">
        <f t="shared" si="3"/>
        <v>0.3541666667</v>
      </c>
      <c r="J16" s="115">
        <f t="shared" si="4"/>
        <v>0.3541666667</v>
      </c>
      <c r="K16" s="114">
        <f t="shared" si="5"/>
        <v>0</v>
      </c>
      <c r="L16" s="116">
        <f t="shared" si="6"/>
        <v>8.3</v>
      </c>
      <c r="M16" s="116">
        <f t="shared" si="7"/>
        <v>0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22.5" customHeight="1">
      <c r="A17" s="117">
        <v>46177.0</v>
      </c>
      <c r="B17" s="118">
        <v>1.0</v>
      </c>
      <c r="C17" s="111" t="str">
        <f>VLOOKUP(B17,Employees!A:B,2,FALSE)</f>
        <v>Rajat Hela</v>
      </c>
      <c r="D17" s="119">
        <v>0.3333333333333333</v>
      </c>
      <c r="E17" s="120">
        <v>0.5416666666666666</v>
      </c>
      <c r="F17" s="121">
        <v>0.5833333333333334</v>
      </c>
      <c r="G17" s="121">
        <v>0.7916666666666666</v>
      </c>
      <c r="H17" s="114">
        <f t="shared" si="2"/>
        <v>0.04166666667</v>
      </c>
      <c r="I17" s="114">
        <f t="shared" si="3"/>
        <v>0.4583333333</v>
      </c>
      <c r="J17" s="115">
        <f t="shared" si="4"/>
        <v>0.4166666667</v>
      </c>
      <c r="K17" s="114">
        <f t="shared" si="5"/>
        <v>0</v>
      </c>
      <c r="L17" s="116">
        <f t="shared" si="6"/>
        <v>10</v>
      </c>
      <c r="M17" s="116">
        <f t="shared" si="7"/>
        <v>0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22.5" customHeight="1">
      <c r="A18" s="117"/>
      <c r="B18" s="118">
        <v>3.0</v>
      </c>
      <c r="C18" s="111" t="str">
        <f>VLOOKUP(B18,Employees!A:B,2,FALSE)</f>
        <v>Ranjan Kumar</v>
      </c>
      <c r="D18" s="121">
        <v>0.7916666666666666</v>
      </c>
      <c r="E18" s="120">
        <v>0.375</v>
      </c>
      <c r="F18" s="121">
        <v>0.5</v>
      </c>
      <c r="G18" s="121">
        <v>0.2916666666666667</v>
      </c>
      <c r="H18" s="114">
        <f t="shared" si="2"/>
        <v>0.125</v>
      </c>
      <c r="I18" s="114">
        <f t="shared" si="3"/>
        <v>-0.5</v>
      </c>
      <c r="J18" s="115">
        <f t="shared" si="4"/>
        <v>-0.625</v>
      </c>
      <c r="K18" s="114">
        <f t="shared" si="5"/>
        <v>0</v>
      </c>
      <c r="L18" s="116">
        <f t="shared" si="6"/>
        <v>9</v>
      </c>
      <c r="M18" s="116">
        <f t="shared" si="7"/>
        <v>0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22.5" customHeight="1">
      <c r="A19" s="117">
        <v>46178.0</v>
      </c>
      <c r="B19" s="118">
        <v>1.0</v>
      </c>
      <c r="C19" s="111" t="str">
        <f>VLOOKUP(B19,Employees!A:B,2,FALSE)</f>
        <v>Rajat Hela</v>
      </c>
      <c r="D19" s="119">
        <v>0.3333333333333333</v>
      </c>
      <c r="E19" s="120">
        <v>0.5833333333333334</v>
      </c>
      <c r="F19" s="121">
        <v>0.625</v>
      </c>
      <c r="G19" s="121">
        <v>0.7916666666666666</v>
      </c>
      <c r="H19" s="114">
        <f t="shared" si="2"/>
        <v>0.04166666667</v>
      </c>
      <c r="I19" s="114">
        <f t="shared" si="3"/>
        <v>0.4583333333</v>
      </c>
      <c r="J19" s="115">
        <f t="shared" si="4"/>
        <v>0.4166666667</v>
      </c>
      <c r="K19" s="114">
        <f t="shared" si="5"/>
        <v>0</v>
      </c>
      <c r="L19" s="116">
        <f t="shared" si="6"/>
        <v>10</v>
      </c>
      <c r="M19" s="116">
        <f t="shared" si="7"/>
        <v>0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22.5" customHeight="1">
      <c r="A20" s="117"/>
      <c r="B20" s="118">
        <v>3.0</v>
      </c>
      <c r="C20" s="111" t="str">
        <f>VLOOKUP(B20,Employees!A:B,2,FALSE)</f>
        <v>Ranjan Kumar</v>
      </c>
      <c r="D20" s="121">
        <v>0.8333333333333334</v>
      </c>
      <c r="E20" s="120"/>
      <c r="F20" s="121"/>
      <c r="G20" s="121">
        <v>0.041666666666666664</v>
      </c>
      <c r="H20" s="114">
        <f t="shared" si="2"/>
        <v>0</v>
      </c>
      <c r="I20" s="114">
        <f t="shared" si="3"/>
        <v>-0.7916666667</v>
      </c>
      <c r="J20" s="115">
        <f t="shared" si="4"/>
        <v>-0.7916666667</v>
      </c>
      <c r="K20" s="114">
        <f t="shared" si="5"/>
        <v>0</v>
      </c>
      <c r="L20" s="116">
        <f t="shared" si="6"/>
        <v>5</v>
      </c>
      <c r="M20" s="116">
        <f t="shared" si="7"/>
        <v>0</v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22.5" customHeight="1">
      <c r="A21" s="117">
        <v>46179.0</v>
      </c>
      <c r="B21" s="118">
        <v>3.0</v>
      </c>
      <c r="C21" s="111" t="str">
        <f>VLOOKUP(B21,Employees!A:B,2,FALSE)</f>
        <v>Ranjan Kumar</v>
      </c>
      <c r="D21" s="119">
        <v>0.3333333333333333</v>
      </c>
      <c r="E21" s="120">
        <v>0.5416666666666666</v>
      </c>
      <c r="F21" s="121">
        <v>0.5833333333333334</v>
      </c>
      <c r="G21" s="121">
        <v>0.8333333333333334</v>
      </c>
      <c r="H21" s="114">
        <f t="shared" si="2"/>
        <v>0.04166666667</v>
      </c>
      <c r="I21" s="114">
        <f t="shared" si="3"/>
        <v>0.5</v>
      </c>
      <c r="J21" s="115">
        <f t="shared" si="4"/>
        <v>0.4583333333</v>
      </c>
      <c r="K21" s="114">
        <f t="shared" si="5"/>
        <v>0</v>
      </c>
      <c r="L21" s="116">
        <f t="shared" si="6"/>
        <v>11</v>
      </c>
      <c r="M21" s="116">
        <f t="shared" si="7"/>
        <v>0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22.5" customHeight="1">
      <c r="A22" s="117"/>
      <c r="B22" s="118"/>
      <c r="C22" s="111" t="str">
        <f>VLOOKUP(B22,Employees!A:B,2,FALSE)</f>
        <v>#N/A</v>
      </c>
      <c r="D22" s="121"/>
      <c r="E22" s="120"/>
      <c r="F22" s="121"/>
      <c r="G22" s="121"/>
      <c r="H22" s="114">
        <f t="shared" si="2"/>
        <v>0</v>
      </c>
      <c r="I22" s="114">
        <f t="shared" si="3"/>
        <v>0</v>
      </c>
      <c r="J22" s="115">
        <f t="shared" si="4"/>
        <v>0</v>
      </c>
      <c r="K22" s="114">
        <f t="shared" si="5"/>
        <v>0</v>
      </c>
      <c r="L22" s="116">
        <f t="shared" si="6"/>
        <v>0</v>
      </c>
      <c r="M22" s="116">
        <f t="shared" si="7"/>
        <v>0</v>
      </c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22.5" customHeight="1">
      <c r="A23" s="117">
        <v>46180.0</v>
      </c>
      <c r="B23" s="118">
        <v>3.0</v>
      </c>
      <c r="C23" s="111" t="str">
        <f>VLOOKUP(B23,Employees!A:B,2,FALSE)</f>
        <v>Ranjan Kumar</v>
      </c>
      <c r="D23" s="119">
        <v>0.3333333333333333</v>
      </c>
      <c r="E23" s="120">
        <v>0.5416666666666666</v>
      </c>
      <c r="F23" s="121">
        <v>0.5833333333333334</v>
      </c>
      <c r="G23" s="121">
        <v>0.9166666666666666</v>
      </c>
      <c r="H23" s="114">
        <f t="shared" si="2"/>
        <v>0.04166666667</v>
      </c>
      <c r="I23" s="114">
        <f t="shared" si="3"/>
        <v>0.5833333333</v>
      </c>
      <c r="J23" s="115">
        <f t="shared" si="4"/>
        <v>0.5416666667</v>
      </c>
      <c r="K23" s="114">
        <f t="shared" si="5"/>
        <v>0.08333333333</v>
      </c>
      <c r="L23" s="116">
        <f t="shared" si="6"/>
        <v>11</v>
      </c>
      <c r="M23" s="116">
        <f t="shared" si="7"/>
        <v>2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22.5" customHeight="1">
      <c r="A24" s="117"/>
      <c r="B24" s="118"/>
      <c r="C24" s="111" t="str">
        <f>VLOOKUP(B24,Employees!A:B,2,FALSE)</f>
        <v>#N/A</v>
      </c>
      <c r="D24" s="121"/>
      <c r="E24" s="120"/>
      <c r="F24" s="121"/>
      <c r="G24" s="121"/>
      <c r="H24" s="114">
        <f t="shared" si="2"/>
        <v>0</v>
      </c>
      <c r="I24" s="114">
        <f t="shared" si="3"/>
        <v>0</v>
      </c>
      <c r="J24" s="115">
        <f t="shared" si="4"/>
        <v>0</v>
      </c>
      <c r="K24" s="114">
        <f t="shared" si="5"/>
        <v>0</v>
      </c>
      <c r="L24" s="116">
        <f t="shared" si="6"/>
        <v>0</v>
      </c>
      <c r="M24" s="116">
        <f t="shared" si="7"/>
        <v>0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22.5" customHeight="1">
      <c r="A25" s="117">
        <v>46181.0</v>
      </c>
      <c r="B25" s="118">
        <v>3.0</v>
      </c>
      <c r="C25" s="111" t="str">
        <f>VLOOKUP(B25,Employees!A:B,2,FALSE)</f>
        <v>Ranjan Kumar</v>
      </c>
      <c r="D25" s="119">
        <v>0.3333333333333333</v>
      </c>
      <c r="E25" s="120">
        <v>0.5416666666666666</v>
      </c>
      <c r="F25" s="121">
        <v>0.5833333333333334</v>
      </c>
      <c r="G25" s="121">
        <v>1.0</v>
      </c>
      <c r="H25" s="114">
        <f t="shared" si="2"/>
        <v>0.04166666667</v>
      </c>
      <c r="I25" s="114">
        <f t="shared" si="3"/>
        <v>0.6666666667</v>
      </c>
      <c r="J25" s="115">
        <f t="shared" si="4"/>
        <v>0.625</v>
      </c>
      <c r="K25" s="114">
        <f t="shared" si="5"/>
        <v>0.1666666667</v>
      </c>
      <c r="L25" s="116">
        <f t="shared" si="6"/>
        <v>11</v>
      </c>
      <c r="M25" s="116">
        <f t="shared" si="7"/>
        <v>4</v>
      </c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22.5" customHeight="1">
      <c r="A26" s="117"/>
      <c r="B26" s="118"/>
      <c r="C26" s="111" t="str">
        <f>VLOOKUP(B26,Employees!A:B,2,FALSE)</f>
        <v>#N/A</v>
      </c>
      <c r="D26" s="121"/>
      <c r="E26" s="120"/>
      <c r="F26" s="121"/>
      <c r="G26" s="121"/>
      <c r="H26" s="114">
        <f t="shared" si="2"/>
        <v>0</v>
      </c>
      <c r="I26" s="114">
        <f t="shared" si="3"/>
        <v>0</v>
      </c>
      <c r="J26" s="115">
        <f t="shared" si="4"/>
        <v>0</v>
      </c>
      <c r="K26" s="114">
        <f t="shared" si="5"/>
        <v>0</v>
      </c>
      <c r="L26" s="116">
        <f t="shared" si="6"/>
        <v>0</v>
      </c>
      <c r="M26" s="116">
        <f t="shared" si="7"/>
        <v>0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22.5" customHeight="1">
      <c r="A27" s="117">
        <v>46182.0</v>
      </c>
      <c r="B27" s="118">
        <v>3.0</v>
      </c>
      <c r="C27" s="111" t="str">
        <f>VLOOKUP(B27,Employees!A:B,2,FALSE)</f>
        <v>Ranjan Kumar</v>
      </c>
      <c r="D27" s="119">
        <v>0.3333333333333333</v>
      </c>
      <c r="E27" s="120">
        <v>0.5416666666666666</v>
      </c>
      <c r="F27" s="121">
        <v>0.5833333333333334</v>
      </c>
      <c r="G27" s="121">
        <v>0.875</v>
      </c>
      <c r="H27" s="114">
        <f t="shared" si="2"/>
        <v>0.04166666667</v>
      </c>
      <c r="I27" s="114">
        <f t="shared" si="3"/>
        <v>0.5416666667</v>
      </c>
      <c r="J27" s="115">
        <f t="shared" si="4"/>
        <v>0.5</v>
      </c>
      <c r="K27" s="114">
        <f t="shared" si="5"/>
        <v>0.04166666667</v>
      </c>
      <c r="L27" s="116">
        <f t="shared" si="6"/>
        <v>11</v>
      </c>
      <c r="M27" s="116">
        <f t="shared" si="7"/>
        <v>1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22.5" customHeight="1">
      <c r="A28" s="117"/>
      <c r="B28" s="118"/>
      <c r="C28" s="111" t="str">
        <f>VLOOKUP(B28,Employees!A:B,2,FALSE)</f>
        <v>#N/A</v>
      </c>
      <c r="D28" s="121"/>
      <c r="E28" s="120"/>
      <c r="F28" s="121"/>
      <c r="G28" s="121"/>
      <c r="H28" s="114">
        <f t="shared" si="2"/>
        <v>0</v>
      </c>
      <c r="I28" s="114">
        <f t="shared" si="3"/>
        <v>0</v>
      </c>
      <c r="J28" s="115">
        <f t="shared" si="4"/>
        <v>0</v>
      </c>
      <c r="K28" s="114">
        <f t="shared" si="5"/>
        <v>0</v>
      </c>
      <c r="L28" s="116">
        <f t="shared" si="6"/>
        <v>0</v>
      </c>
      <c r="M28" s="116">
        <f t="shared" si="7"/>
        <v>0</v>
      </c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22.5" customHeight="1">
      <c r="A29" s="117">
        <v>46183.0</v>
      </c>
      <c r="B29" s="118"/>
      <c r="C29" s="111"/>
      <c r="D29" s="119"/>
      <c r="E29" s="120"/>
      <c r="F29" s="121"/>
      <c r="G29" s="118" t="s">
        <v>48</v>
      </c>
      <c r="H29" s="114"/>
      <c r="I29" s="114"/>
      <c r="J29" s="115"/>
      <c r="K29" s="114"/>
      <c r="L29" s="116" t="str">
        <f t="shared" si="6"/>
        <v/>
      </c>
      <c r="M29" s="116" t="str">
        <f t="shared" si="7"/>
        <v/>
      </c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22.5" customHeight="1">
      <c r="A30" s="117">
        <v>46184.0</v>
      </c>
      <c r="B30" s="118">
        <v>3.0</v>
      </c>
      <c r="C30" s="111" t="str">
        <f>VLOOKUP(B30,Employees!A:B,2,FALSE)</f>
        <v>Ranjan Kumar</v>
      </c>
      <c r="D30" s="119">
        <v>0.3333333333333333</v>
      </c>
      <c r="E30" s="120">
        <v>0.5416666666666666</v>
      </c>
      <c r="F30" s="121">
        <v>0.5833333333333334</v>
      </c>
      <c r="G30" s="121">
        <v>1.0</v>
      </c>
      <c r="H30" s="114">
        <f t="shared" ref="H30:H41" si="8">F30 - E30</f>
        <v>0.04166666667</v>
      </c>
      <c r="I30" s="114">
        <f t="shared" ref="I30:I41" si="9">G30 - D30</f>
        <v>0.6666666667</v>
      </c>
      <c r="J30" s="115">
        <f t="shared" ref="J30:J41" si="10">I30 - H30</f>
        <v>0.625</v>
      </c>
      <c r="K30" s="114">
        <f t="shared" ref="K30:K41" si="11">MAX(
  0,
  MOD(
    IFERROR(
      J30,
      TIMEVALUE(SUBSTITUTE(J30,CHAR(160),""))
    ),
    1
  ) - TIME(11,0,0)
)
</f>
        <v>0.1666666667</v>
      </c>
      <c r="L30" s="116">
        <f t="shared" si="6"/>
        <v>11</v>
      </c>
      <c r="M30" s="116">
        <f t="shared" si="7"/>
        <v>4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22.5" customHeight="1">
      <c r="A31" s="117"/>
      <c r="B31" s="118"/>
      <c r="C31" s="111" t="str">
        <f>VLOOKUP(B31,Employees!A:B,2,FALSE)</f>
        <v>#N/A</v>
      </c>
      <c r="D31" s="121"/>
      <c r="E31" s="120"/>
      <c r="F31" s="121"/>
      <c r="G31" s="121"/>
      <c r="H31" s="114">
        <f t="shared" si="8"/>
        <v>0</v>
      </c>
      <c r="I31" s="114">
        <f t="shared" si="9"/>
        <v>0</v>
      </c>
      <c r="J31" s="115">
        <f t="shared" si="10"/>
        <v>0</v>
      </c>
      <c r="K31" s="114">
        <f t="shared" si="11"/>
        <v>0</v>
      </c>
      <c r="L31" s="116">
        <f t="shared" si="6"/>
        <v>0</v>
      </c>
      <c r="M31" s="116">
        <f t="shared" si="7"/>
        <v>0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22.5" customHeight="1">
      <c r="A32" s="117">
        <v>46185.0</v>
      </c>
      <c r="B32" s="118">
        <v>3.0</v>
      </c>
      <c r="C32" s="111" t="str">
        <f>VLOOKUP(B32,Employees!A:B,2,FALSE)</f>
        <v>Ranjan Kumar</v>
      </c>
      <c r="D32" s="119">
        <v>0.3333333333333333</v>
      </c>
      <c r="E32" s="120">
        <v>0.5416666666666666</v>
      </c>
      <c r="F32" s="121">
        <v>0.5833333333333334</v>
      </c>
      <c r="G32" s="121">
        <v>0.0625</v>
      </c>
      <c r="H32" s="114">
        <f t="shared" si="8"/>
        <v>0.04166666667</v>
      </c>
      <c r="I32" s="114">
        <f t="shared" si="9"/>
        <v>-0.2708333333</v>
      </c>
      <c r="J32" s="115">
        <f t="shared" si="10"/>
        <v>-0.3125</v>
      </c>
      <c r="K32" s="114">
        <f t="shared" si="11"/>
        <v>0.2291666667</v>
      </c>
      <c r="L32" s="116">
        <f t="shared" si="6"/>
        <v>11</v>
      </c>
      <c r="M32" s="116">
        <f t="shared" si="7"/>
        <v>5.3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22.5" customHeight="1">
      <c r="A33" s="117"/>
      <c r="B33" s="118"/>
      <c r="C33" s="111" t="str">
        <f>VLOOKUP(B33,Employees!A:B,2,FALSE)</f>
        <v>#N/A</v>
      </c>
      <c r="D33" s="121"/>
      <c r="E33" s="120"/>
      <c r="F33" s="121"/>
      <c r="G33" s="121"/>
      <c r="H33" s="114">
        <f t="shared" si="8"/>
        <v>0</v>
      </c>
      <c r="I33" s="114">
        <f t="shared" si="9"/>
        <v>0</v>
      </c>
      <c r="J33" s="115">
        <f t="shared" si="10"/>
        <v>0</v>
      </c>
      <c r="K33" s="114">
        <f t="shared" si="11"/>
        <v>0</v>
      </c>
      <c r="L33" s="116">
        <f t="shared" si="6"/>
        <v>0</v>
      </c>
      <c r="M33" s="116">
        <f t="shared" si="7"/>
        <v>0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22.5" customHeight="1">
      <c r="A34" s="117">
        <v>46186.0</v>
      </c>
      <c r="B34" s="118">
        <v>3.0</v>
      </c>
      <c r="C34" s="111" t="str">
        <f>VLOOKUP(B34,Employees!A:B,2,FALSE)</f>
        <v>Ranjan Kumar</v>
      </c>
      <c r="D34" s="119">
        <v>0.4166666666666667</v>
      </c>
      <c r="E34" s="120">
        <v>0.5416666666666666</v>
      </c>
      <c r="F34" s="121">
        <v>0.5833333333333334</v>
      </c>
      <c r="G34" s="121">
        <v>0.875</v>
      </c>
      <c r="H34" s="114">
        <f t="shared" si="8"/>
        <v>0.04166666667</v>
      </c>
      <c r="I34" s="114">
        <f t="shared" si="9"/>
        <v>0.4583333333</v>
      </c>
      <c r="J34" s="115">
        <f t="shared" si="10"/>
        <v>0.4166666667</v>
      </c>
      <c r="K34" s="114">
        <f t="shared" si="11"/>
        <v>0</v>
      </c>
      <c r="L34" s="116">
        <f t="shared" si="6"/>
        <v>10</v>
      </c>
      <c r="M34" s="116">
        <f t="shared" si="7"/>
        <v>0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A35" s="117"/>
      <c r="B35" s="118"/>
      <c r="C35" s="111" t="str">
        <f>VLOOKUP(B35,Employees!A:B,2,FALSE)</f>
        <v>#N/A</v>
      </c>
      <c r="D35" s="121"/>
      <c r="E35" s="120"/>
      <c r="F35" s="121"/>
      <c r="G35" s="121"/>
      <c r="H35" s="114">
        <f t="shared" si="8"/>
        <v>0</v>
      </c>
      <c r="I35" s="114">
        <f t="shared" si="9"/>
        <v>0</v>
      </c>
      <c r="J35" s="115">
        <f t="shared" si="10"/>
        <v>0</v>
      </c>
      <c r="K35" s="114">
        <f t="shared" si="11"/>
        <v>0</v>
      </c>
      <c r="L35" s="116">
        <f t="shared" si="6"/>
        <v>0</v>
      </c>
      <c r="M35" s="116">
        <f t="shared" si="7"/>
        <v>0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A36" s="117">
        <v>46187.0</v>
      </c>
      <c r="B36" s="118">
        <v>3.0</v>
      </c>
      <c r="C36" s="111" t="str">
        <f>VLOOKUP(B36,Employees!A:B,2,FALSE)</f>
        <v>Ranjan Kumar</v>
      </c>
      <c r="D36" s="119">
        <v>0.3333333333333333</v>
      </c>
      <c r="E36" s="120">
        <v>0.5416666666666666</v>
      </c>
      <c r="F36" s="121">
        <v>0.5833333333333334</v>
      </c>
      <c r="G36" s="121">
        <v>0.8333333333333334</v>
      </c>
      <c r="H36" s="114">
        <f t="shared" si="8"/>
        <v>0.04166666667</v>
      </c>
      <c r="I36" s="114">
        <f t="shared" si="9"/>
        <v>0.5</v>
      </c>
      <c r="J36" s="115">
        <f t="shared" si="10"/>
        <v>0.4583333333</v>
      </c>
      <c r="K36" s="114">
        <f t="shared" si="11"/>
        <v>0</v>
      </c>
      <c r="L36" s="116">
        <f t="shared" si="6"/>
        <v>11</v>
      </c>
      <c r="M36" s="116">
        <f t="shared" si="7"/>
        <v>0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A37" s="117"/>
      <c r="B37" s="118"/>
      <c r="C37" s="111" t="str">
        <f>VLOOKUP(B37,Employees!A:B,2,FALSE)</f>
        <v>#N/A</v>
      </c>
      <c r="D37" s="121"/>
      <c r="E37" s="120"/>
      <c r="F37" s="121"/>
      <c r="G37" s="121"/>
      <c r="H37" s="114">
        <f t="shared" si="8"/>
        <v>0</v>
      </c>
      <c r="I37" s="114">
        <f t="shared" si="9"/>
        <v>0</v>
      </c>
      <c r="J37" s="115">
        <f t="shared" si="10"/>
        <v>0</v>
      </c>
      <c r="K37" s="114">
        <f t="shared" si="11"/>
        <v>0</v>
      </c>
      <c r="L37" s="116">
        <f t="shared" si="6"/>
        <v>0</v>
      </c>
      <c r="M37" s="116">
        <f t="shared" si="7"/>
        <v>0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117">
        <v>46188.0</v>
      </c>
      <c r="B38" s="118">
        <v>3.0</v>
      </c>
      <c r="C38" s="111" t="str">
        <f>VLOOKUP(B38,Employees!A:B,2,FALSE)</f>
        <v>Ranjan Kumar</v>
      </c>
      <c r="D38" s="119">
        <v>0.3333333333333333</v>
      </c>
      <c r="E38" s="120">
        <v>0.5416666666666666</v>
      </c>
      <c r="F38" s="121">
        <v>0.5833333333333334</v>
      </c>
      <c r="G38" s="121">
        <v>0.8333333333333334</v>
      </c>
      <c r="H38" s="114">
        <f t="shared" si="8"/>
        <v>0.04166666667</v>
      </c>
      <c r="I38" s="114">
        <f t="shared" si="9"/>
        <v>0.5</v>
      </c>
      <c r="J38" s="115">
        <f t="shared" si="10"/>
        <v>0.4583333333</v>
      </c>
      <c r="K38" s="114">
        <f t="shared" si="11"/>
        <v>0</v>
      </c>
      <c r="L38" s="116">
        <f t="shared" si="6"/>
        <v>11</v>
      </c>
      <c r="M38" s="116">
        <f t="shared" si="7"/>
        <v>0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117"/>
      <c r="B39" s="118"/>
      <c r="C39" s="111" t="str">
        <f>VLOOKUP(B39,Employees!A:B,2,FALSE)</f>
        <v>#N/A</v>
      </c>
      <c r="D39" s="121"/>
      <c r="E39" s="120"/>
      <c r="F39" s="121"/>
      <c r="G39" s="121"/>
      <c r="H39" s="114">
        <f t="shared" si="8"/>
        <v>0</v>
      </c>
      <c r="I39" s="114">
        <f t="shared" si="9"/>
        <v>0</v>
      </c>
      <c r="J39" s="115">
        <f t="shared" si="10"/>
        <v>0</v>
      </c>
      <c r="K39" s="114">
        <f t="shared" si="11"/>
        <v>0</v>
      </c>
      <c r="L39" s="116">
        <f t="shared" si="6"/>
        <v>0</v>
      </c>
      <c r="M39" s="116">
        <f t="shared" si="7"/>
        <v>0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117">
        <v>46189.0</v>
      </c>
      <c r="B40" s="118">
        <v>3.0</v>
      </c>
      <c r="C40" s="111" t="str">
        <f>VLOOKUP(B40,Employees!A:B,2,FALSE)</f>
        <v>Ranjan Kumar</v>
      </c>
      <c r="D40" s="119"/>
      <c r="E40" s="120"/>
      <c r="F40" s="121"/>
      <c r="G40" s="121"/>
      <c r="H40" s="114">
        <f t="shared" si="8"/>
        <v>0</v>
      </c>
      <c r="I40" s="114">
        <f t="shared" si="9"/>
        <v>0</v>
      </c>
      <c r="J40" s="115">
        <f t="shared" si="10"/>
        <v>0</v>
      </c>
      <c r="K40" s="114">
        <f t="shared" si="11"/>
        <v>0</v>
      </c>
      <c r="L40" s="116">
        <f t="shared" si="6"/>
        <v>0</v>
      </c>
      <c r="M40" s="116">
        <f t="shared" si="7"/>
        <v>0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117"/>
      <c r="B41" s="118"/>
      <c r="C41" s="111" t="str">
        <f>VLOOKUP(B41,Employees!A:B,2,FALSE)</f>
        <v>#N/A</v>
      </c>
      <c r="D41" s="121"/>
      <c r="E41" s="120"/>
      <c r="F41" s="121"/>
      <c r="G41" s="121"/>
      <c r="H41" s="114">
        <f t="shared" si="8"/>
        <v>0</v>
      </c>
      <c r="I41" s="114">
        <f t="shared" si="9"/>
        <v>0</v>
      </c>
      <c r="J41" s="115">
        <f t="shared" si="10"/>
        <v>0</v>
      </c>
      <c r="K41" s="114">
        <f t="shared" si="11"/>
        <v>0</v>
      </c>
      <c r="L41" s="116">
        <f t="shared" si="6"/>
        <v>0</v>
      </c>
      <c r="M41" s="116">
        <f t="shared" si="7"/>
        <v>0</v>
      </c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117">
        <v>46190.0</v>
      </c>
      <c r="B42" s="118"/>
      <c r="C42" s="111"/>
      <c r="D42" s="119"/>
      <c r="E42" s="120"/>
      <c r="F42" s="121"/>
      <c r="G42" s="118" t="s">
        <v>48</v>
      </c>
      <c r="H42" s="114"/>
      <c r="I42" s="114"/>
      <c r="J42" s="115"/>
      <c r="K42" s="114"/>
      <c r="L42" s="116" t="str">
        <f t="shared" si="6"/>
        <v/>
      </c>
      <c r="M42" s="116" t="str">
        <f t="shared" si="7"/>
        <v/>
      </c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117">
        <v>46191.0</v>
      </c>
      <c r="B43" s="118"/>
      <c r="C43" s="111" t="str">
        <f>VLOOKUP(B43,Employees!A:B,2,FALSE)</f>
        <v>#N/A</v>
      </c>
      <c r="D43" s="119"/>
      <c r="E43" s="120"/>
      <c r="F43" s="121"/>
      <c r="G43" s="121"/>
      <c r="H43" s="114">
        <f t="shared" ref="H43:H54" si="12">F43 - E43</f>
        <v>0</v>
      </c>
      <c r="I43" s="114">
        <f t="shared" ref="I43:I54" si="13">G43 - D43</f>
        <v>0</v>
      </c>
      <c r="J43" s="115">
        <f t="shared" ref="J43:J54" si="14">I43 - H43</f>
        <v>0</v>
      </c>
      <c r="K43" s="114">
        <f t="shared" ref="K43:K54" si="15">MAX(
  0,
  MOD(
    IFERROR(
      J43,
      TIMEVALUE(SUBSTITUTE(J43,CHAR(160),""))
    ),
    1
  ) - TIME(11,0,0)
)
</f>
        <v>0</v>
      </c>
      <c r="L43" s="116">
        <f t="shared" si="6"/>
        <v>0</v>
      </c>
      <c r="M43" s="116">
        <f t="shared" si="7"/>
        <v>0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117"/>
      <c r="B44" s="118"/>
      <c r="C44" s="111" t="str">
        <f>VLOOKUP(B44,Employees!A:B,2,FALSE)</f>
        <v>#N/A</v>
      </c>
      <c r="D44" s="121"/>
      <c r="E44" s="120"/>
      <c r="F44" s="121"/>
      <c r="G44" s="121"/>
      <c r="H44" s="114">
        <f t="shared" si="12"/>
        <v>0</v>
      </c>
      <c r="I44" s="114">
        <f t="shared" si="13"/>
        <v>0</v>
      </c>
      <c r="J44" s="115">
        <f t="shared" si="14"/>
        <v>0</v>
      </c>
      <c r="K44" s="114">
        <f t="shared" si="15"/>
        <v>0</v>
      </c>
      <c r="L44" s="116">
        <f t="shared" si="6"/>
        <v>0</v>
      </c>
      <c r="M44" s="116">
        <f t="shared" si="7"/>
        <v>0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117">
        <v>46192.0</v>
      </c>
      <c r="B45" s="118"/>
      <c r="C45" s="111" t="str">
        <f>VLOOKUP(B45,Employees!A:B,2,FALSE)</f>
        <v>#N/A</v>
      </c>
      <c r="D45" s="119"/>
      <c r="E45" s="120"/>
      <c r="F45" s="121"/>
      <c r="G45" s="121"/>
      <c r="H45" s="114">
        <f t="shared" si="12"/>
        <v>0</v>
      </c>
      <c r="I45" s="114">
        <f t="shared" si="13"/>
        <v>0</v>
      </c>
      <c r="J45" s="115">
        <f t="shared" si="14"/>
        <v>0</v>
      </c>
      <c r="K45" s="114">
        <f t="shared" si="15"/>
        <v>0</v>
      </c>
      <c r="L45" s="116">
        <f t="shared" si="6"/>
        <v>0</v>
      </c>
      <c r="M45" s="116">
        <f t="shared" si="7"/>
        <v>0</v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117"/>
      <c r="B46" s="118"/>
      <c r="C46" s="111" t="str">
        <f>VLOOKUP(B46,Employees!A:B,2,FALSE)</f>
        <v>#N/A</v>
      </c>
      <c r="D46" s="121"/>
      <c r="E46" s="120"/>
      <c r="F46" s="121"/>
      <c r="G46" s="121"/>
      <c r="H46" s="114">
        <f t="shared" si="12"/>
        <v>0</v>
      </c>
      <c r="I46" s="114">
        <f t="shared" si="13"/>
        <v>0</v>
      </c>
      <c r="J46" s="115">
        <f t="shared" si="14"/>
        <v>0</v>
      </c>
      <c r="K46" s="114">
        <f t="shared" si="15"/>
        <v>0</v>
      </c>
      <c r="L46" s="116">
        <f t="shared" si="6"/>
        <v>0</v>
      </c>
      <c r="M46" s="116">
        <f t="shared" si="7"/>
        <v>0</v>
      </c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117">
        <v>46193.0</v>
      </c>
      <c r="B47" s="118"/>
      <c r="C47" s="111" t="str">
        <f>VLOOKUP(B47,Employees!A:B,2,FALSE)</f>
        <v>#N/A</v>
      </c>
      <c r="D47" s="119"/>
      <c r="E47" s="120"/>
      <c r="F47" s="121"/>
      <c r="G47" s="121"/>
      <c r="H47" s="114">
        <f t="shared" si="12"/>
        <v>0</v>
      </c>
      <c r="I47" s="114">
        <f t="shared" si="13"/>
        <v>0</v>
      </c>
      <c r="J47" s="115">
        <f t="shared" si="14"/>
        <v>0</v>
      </c>
      <c r="K47" s="114">
        <f t="shared" si="15"/>
        <v>0</v>
      </c>
      <c r="L47" s="116">
        <f t="shared" si="6"/>
        <v>0</v>
      </c>
      <c r="M47" s="116">
        <f t="shared" si="7"/>
        <v>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117"/>
      <c r="B48" s="118"/>
      <c r="C48" s="111" t="str">
        <f>VLOOKUP(B48,Employees!A:B,2,FALSE)</f>
        <v>#N/A</v>
      </c>
      <c r="D48" s="121"/>
      <c r="E48" s="120"/>
      <c r="F48" s="121"/>
      <c r="G48" s="121"/>
      <c r="H48" s="114">
        <f t="shared" si="12"/>
        <v>0</v>
      </c>
      <c r="I48" s="114">
        <f t="shared" si="13"/>
        <v>0</v>
      </c>
      <c r="J48" s="115">
        <f t="shared" si="14"/>
        <v>0</v>
      </c>
      <c r="K48" s="114">
        <f t="shared" si="15"/>
        <v>0</v>
      </c>
      <c r="L48" s="116">
        <f t="shared" si="6"/>
        <v>0</v>
      </c>
      <c r="M48" s="116">
        <f t="shared" si="7"/>
        <v>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117">
        <v>46194.0</v>
      </c>
      <c r="B49" s="118"/>
      <c r="C49" s="111" t="str">
        <f>VLOOKUP(B49,Employees!A:B,2,FALSE)</f>
        <v>#N/A</v>
      </c>
      <c r="D49" s="119"/>
      <c r="E49" s="120"/>
      <c r="F49" s="121"/>
      <c r="G49" s="121"/>
      <c r="H49" s="114">
        <f t="shared" si="12"/>
        <v>0</v>
      </c>
      <c r="I49" s="114">
        <f t="shared" si="13"/>
        <v>0</v>
      </c>
      <c r="J49" s="115">
        <f t="shared" si="14"/>
        <v>0</v>
      </c>
      <c r="K49" s="114">
        <f t="shared" si="15"/>
        <v>0</v>
      </c>
      <c r="L49" s="116">
        <f t="shared" si="6"/>
        <v>0</v>
      </c>
      <c r="M49" s="116">
        <f t="shared" si="7"/>
        <v>0</v>
      </c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117"/>
      <c r="B50" s="118"/>
      <c r="C50" s="111" t="str">
        <f>VLOOKUP(B50,Employees!A:B,2,FALSE)</f>
        <v>#N/A</v>
      </c>
      <c r="D50" s="121"/>
      <c r="E50" s="120"/>
      <c r="F50" s="121"/>
      <c r="G50" s="121"/>
      <c r="H50" s="114">
        <f t="shared" si="12"/>
        <v>0</v>
      </c>
      <c r="I50" s="114">
        <f t="shared" si="13"/>
        <v>0</v>
      </c>
      <c r="J50" s="115">
        <f t="shared" si="14"/>
        <v>0</v>
      </c>
      <c r="K50" s="114">
        <f t="shared" si="15"/>
        <v>0</v>
      </c>
      <c r="L50" s="116">
        <f t="shared" si="6"/>
        <v>0</v>
      </c>
      <c r="M50" s="116">
        <f t="shared" si="7"/>
        <v>0</v>
      </c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117">
        <v>46195.0</v>
      </c>
      <c r="B51" s="118"/>
      <c r="C51" s="111" t="str">
        <f>VLOOKUP(B51,Employees!A:B,2,FALSE)</f>
        <v>#N/A</v>
      </c>
      <c r="D51" s="119"/>
      <c r="E51" s="120"/>
      <c r="F51" s="121"/>
      <c r="G51" s="121"/>
      <c r="H51" s="114">
        <f t="shared" si="12"/>
        <v>0</v>
      </c>
      <c r="I51" s="114">
        <f t="shared" si="13"/>
        <v>0</v>
      </c>
      <c r="J51" s="115">
        <f t="shared" si="14"/>
        <v>0</v>
      </c>
      <c r="K51" s="114">
        <f t="shared" si="15"/>
        <v>0</v>
      </c>
      <c r="L51" s="116">
        <f t="shared" si="6"/>
        <v>0</v>
      </c>
      <c r="M51" s="116">
        <f t="shared" si="7"/>
        <v>0</v>
      </c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117"/>
      <c r="B52" s="118"/>
      <c r="C52" s="111" t="str">
        <f>VLOOKUP(B52,Employees!A:B,2,FALSE)</f>
        <v>#N/A</v>
      </c>
      <c r="D52" s="121"/>
      <c r="E52" s="120"/>
      <c r="F52" s="121"/>
      <c r="G52" s="121"/>
      <c r="H52" s="114">
        <f t="shared" si="12"/>
        <v>0</v>
      </c>
      <c r="I52" s="114">
        <f t="shared" si="13"/>
        <v>0</v>
      </c>
      <c r="J52" s="115">
        <f t="shared" si="14"/>
        <v>0</v>
      </c>
      <c r="K52" s="114">
        <f t="shared" si="15"/>
        <v>0</v>
      </c>
      <c r="L52" s="116">
        <f t="shared" si="6"/>
        <v>0</v>
      </c>
      <c r="M52" s="116">
        <f t="shared" si="7"/>
        <v>0</v>
      </c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117">
        <v>46196.0</v>
      </c>
      <c r="B53" s="118"/>
      <c r="C53" s="111" t="str">
        <f>VLOOKUP(B53,Employees!A:B,2,FALSE)</f>
        <v>#N/A</v>
      </c>
      <c r="D53" s="119"/>
      <c r="E53" s="120"/>
      <c r="F53" s="121"/>
      <c r="G53" s="121"/>
      <c r="H53" s="114">
        <f t="shared" si="12"/>
        <v>0</v>
      </c>
      <c r="I53" s="114">
        <f t="shared" si="13"/>
        <v>0</v>
      </c>
      <c r="J53" s="115">
        <f t="shared" si="14"/>
        <v>0</v>
      </c>
      <c r="K53" s="114">
        <f t="shared" si="15"/>
        <v>0</v>
      </c>
      <c r="L53" s="126">
        <f t="shared" si="6"/>
        <v>0</v>
      </c>
      <c r="M53" s="126">
        <f t="shared" si="7"/>
        <v>0</v>
      </c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117"/>
      <c r="B54" s="118"/>
      <c r="C54" s="111" t="str">
        <f>VLOOKUP(B54,Employees!A:B,2,FALSE)</f>
        <v>#N/A</v>
      </c>
      <c r="D54" s="121"/>
      <c r="E54" s="120"/>
      <c r="F54" s="121"/>
      <c r="G54" s="121"/>
      <c r="H54" s="114">
        <f t="shared" si="12"/>
        <v>0</v>
      </c>
      <c r="I54" s="114">
        <f t="shared" si="13"/>
        <v>0</v>
      </c>
      <c r="J54" s="115">
        <f t="shared" si="14"/>
        <v>0</v>
      </c>
      <c r="K54" s="114">
        <f t="shared" si="15"/>
        <v>0</v>
      </c>
      <c r="L54" s="126">
        <f t="shared" si="6"/>
        <v>0</v>
      </c>
      <c r="M54" s="126">
        <f t="shared" si="7"/>
        <v>0</v>
      </c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117">
        <v>46197.0</v>
      </c>
      <c r="B55" s="118"/>
      <c r="C55" s="111"/>
      <c r="D55" s="119"/>
      <c r="E55" s="120"/>
      <c r="F55" s="121"/>
      <c r="G55" s="118" t="s">
        <v>48</v>
      </c>
      <c r="H55" s="114"/>
      <c r="I55" s="114"/>
      <c r="J55" s="115"/>
      <c r="K55" s="114"/>
      <c r="L55" s="126" t="str">
        <f t="shared" si="6"/>
        <v/>
      </c>
      <c r="M55" s="126" t="str">
        <f t="shared" si="7"/>
        <v/>
      </c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117">
        <v>46198.0</v>
      </c>
      <c r="B56" s="118"/>
      <c r="C56" s="111" t="str">
        <f>VLOOKUP(B56,Employees!A:B,2,FALSE)</f>
        <v>#N/A</v>
      </c>
      <c r="D56" s="119"/>
      <c r="E56" s="120"/>
      <c r="F56" s="121"/>
      <c r="G56" s="121"/>
      <c r="H56" s="114">
        <f t="shared" ref="H56:H67" si="16">F56 - E56</f>
        <v>0</v>
      </c>
      <c r="I56" s="114">
        <f t="shared" ref="I56:I67" si="17">G56 - D56</f>
        <v>0</v>
      </c>
      <c r="J56" s="115">
        <f t="shared" ref="J56:J67" si="18">I56 - H56</f>
        <v>0</v>
      </c>
      <c r="K56" s="114">
        <f t="shared" ref="K56:K67" si="19">MAX(
  0,
  MOD(
    IFERROR(
      J56,
      TIMEVALUE(SUBSTITUTE(J56,CHAR(160),""))
    ),
    1
  ) - TIME(11,0,0)
)
</f>
        <v>0</v>
      </c>
      <c r="L56" s="126">
        <f t="shared" si="6"/>
        <v>0</v>
      </c>
      <c r="M56" s="126">
        <f t="shared" si="7"/>
        <v>0</v>
      </c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117"/>
      <c r="B57" s="118"/>
      <c r="C57" s="111" t="str">
        <f>VLOOKUP(B57,Employees!A:B,2,FALSE)</f>
        <v>#N/A</v>
      </c>
      <c r="D57" s="121"/>
      <c r="E57" s="120"/>
      <c r="F57" s="121"/>
      <c r="G57" s="121"/>
      <c r="H57" s="114">
        <f t="shared" si="16"/>
        <v>0</v>
      </c>
      <c r="I57" s="114">
        <f t="shared" si="17"/>
        <v>0</v>
      </c>
      <c r="J57" s="115">
        <f t="shared" si="18"/>
        <v>0</v>
      </c>
      <c r="K57" s="114">
        <f t="shared" si="19"/>
        <v>0</v>
      </c>
      <c r="L57" s="126">
        <f t="shared" si="6"/>
        <v>0</v>
      </c>
      <c r="M57" s="126">
        <f t="shared" si="7"/>
        <v>0</v>
      </c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117">
        <v>46199.0</v>
      </c>
      <c r="B58" s="118"/>
      <c r="C58" s="111" t="str">
        <f>VLOOKUP(B58,Employees!A:B,2,FALSE)</f>
        <v>#N/A</v>
      </c>
      <c r="D58" s="119"/>
      <c r="E58" s="120"/>
      <c r="F58" s="121"/>
      <c r="G58" s="121"/>
      <c r="H58" s="114">
        <f t="shared" si="16"/>
        <v>0</v>
      </c>
      <c r="I58" s="114">
        <f t="shared" si="17"/>
        <v>0</v>
      </c>
      <c r="J58" s="115">
        <f t="shared" si="18"/>
        <v>0</v>
      </c>
      <c r="K58" s="114">
        <f t="shared" si="19"/>
        <v>0</v>
      </c>
      <c r="L58" s="126">
        <f t="shared" si="6"/>
        <v>0</v>
      </c>
      <c r="M58" s="126">
        <f t="shared" si="7"/>
        <v>0</v>
      </c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117"/>
      <c r="B59" s="118"/>
      <c r="C59" s="111" t="str">
        <f>VLOOKUP(B59,Employees!A:B,2,FALSE)</f>
        <v>#N/A</v>
      </c>
      <c r="D59" s="121"/>
      <c r="E59" s="120"/>
      <c r="F59" s="121"/>
      <c r="G59" s="121"/>
      <c r="H59" s="114">
        <f t="shared" si="16"/>
        <v>0</v>
      </c>
      <c r="I59" s="114">
        <f t="shared" si="17"/>
        <v>0</v>
      </c>
      <c r="J59" s="115">
        <f t="shared" si="18"/>
        <v>0</v>
      </c>
      <c r="K59" s="114">
        <f t="shared" si="19"/>
        <v>0</v>
      </c>
      <c r="L59" s="126">
        <f t="shared" si="6"/>
        <v>0</v>
      </c>
      <c r="M59" s="126">
        <f t="shared" si="7"/>
        <v>0</v>
      </c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117">
        <v>46200.0</v>
      </c>
      <c r="B60" s="118"/>
      <c r="C60" s="111" t="str">
        <f>VLOOKUP(B60,Employees!A:B,2,FALSE)</f>
        <v>#N/A</v>
      </c>
      <c r="D60" s="119"/>
      <c r="E60" s="120"/>
      <c r="F60" s="121"/>
      <c r="G60" s="121"/>
      <c r="H60" s="114">
        <f t="shared" si="16"/>
        <v>0</v>
      </c>
      <c r="I60" s="114">
        <f t="shared" si="17"/>
        <v>0</v>
      </c>
      <c r="J60" s="115">
        <f t="shared" si="18"/>
        <v>0</v>
      </c>
      <c r="K60" s="114">
        <f t="shared" si="19"/>
        <v>0</v>
      </c>
      <c r="L60" s="126">
        <f t="shared" si="6"/>
        <v>0</v>
      </c>
      <c r="M60" s="126">
        <f t="shared" si="7"/>
        <v>0</v>
      </c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117"/>
      <c r="B61" s="118"/>
      <c r="C61" s="111" t="str">
        <f>VLOOKUP(B61,Employees!A:B,2,FALSE)</f>
        <v>#N/A</v>
      </c>
      <c r="D61" s="121"/>
      <c r="E61" s="120"/>
      <c r="F61" s="121"/>
      <c r="G61" s="121"/>
      <c r="H61" s="114">
        <f t="shared" si="16"/>
        <v>0</v>
      </c>
      <c r="I61" s="114">
        <f t="shared" si="17"/>
        <v>0</v>
      </c>
      <c r="J61" s="115">
        <f t="shared" si="18"/>
        <v>0</v>
      </c>
      <c r="K61" s="114">
        <f t="shared" si="19"/>
        <v>0</v>
      </c>
      <c r="L61" s="126">
        <f t="shared" si="6"/>
        <v>0</v>
      </c>
      <c r="M61" s="126">
        <f t="shared" si="7"/>
        <v>0</v>
      </c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117">
        <v>46201.0</v>
      </c>
      <c r="B62" s="118"/>
      <c r="C62" s="111" t="str">
        <f>VLOOKUP(B62,Employees!A:B,2,FALSE)</f>
        <v>#N/A</v>
      </c>
      <c r="D62" s="119"/>
      <c r="E62" s="120"/>
      <c r="F62" s="121"/>
      <c r="G62" s="121"/>
      <c r="H62" s="114">
        <f t="shared" si="16"/>
        <v>0</v>
      </c>
      <c r="I62" s="114">
        <f t="shared" si="17"/>
        <v>0</v>
      </c>
      <c r="J62" s="115">
        <f t="shared" si="18"/>
        <v>0</v>
      </c>
      <c r="K62" s="114">
        <f t="shared" si="19"/>
        <v>0</v>
      </c>
      <c r="L62" s="126">
        <f t="shared" si="6"/>
        <v>0</v>
      </c>
      <c r="M62" s="126">
        <f t="shared" si="7"/>
        <v>0</v>
      </c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117"/>
      <c r="B63" s="118"/>
      <c r="C63" s="111" t="str">
        <f>VLOOKUP(B63,Employees!A:B,2,FALSE)</f>
        <v>#N/A</v>
      </c>
      <c r="D63" s="121"/>
      <c r="E63" s="120"/>
      <c r="F63" s="121"/>
      <c r="G63" s="121"/>
      <c r="H63" s="114">
        <f t="shared" si="16"/>
        <v>0</v>
      </c>
      <c r="I63" s="114">
        <f t="shared" si="17"/>
        <v>0</v>
      </c>
      <c r="J63" s="115">
        <f t="shared" si="18"/>
        <v>0</v>
      </c>
      <c r="K63" s="114">
        <f t="shared" si="19"/>
        <v>0</v>
      </c>
      <c r="L63" s="126">
        <f t="shared" si="6"/>
        <v>0</v>
      </c>
      <c r="M63" s="126">
        <f t="shared" si="7"/>
        <v>0</v>
      </c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117">
        <v>46202.0</v>
      </c>
      <c r="B64" s="118"/>
      <c r="C64" s="111" t="str">
        <f>VLOOKUP(B64,Employees!A:B,2,FALSE)</f>
        <v>#N/A</v>
      </c>
      <c r="D64" s="119"/>
      <c r="E64" s="120"/>
      <c r="F64" s="121"/>
      <c r="G64" s="121"/>
      <c r="H64" s="114">
        <f t="shared" si="16"/>
        <v>0</v>
      </c>
      <c r="I64" s="114">
        <f t="shared" si="17"/>
        <v>0</v>
      </c>
      <c r="J64" s="115">
        <f t="shared" si="18"/>
        <v>0</v>
      </c>
      <c r="K64" s="114">
        <f t="shared" si="19"/>
        <v>0</v>
      </c>
      <c r="L64" s="126">
        <f t="shared" si="6"/>
        <v>0</v>
      </c>
      <c r="M64" s="126">
        <f t="shared" si="7"/>
        <v>0</v>
      </c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117"/>
      <c r="B65" s="118"/>
      <c r="C65" s="111" t="str">
        <f>VLOOKUP(B65,Employees!A:B,2,FALSE)</f>
        <v>#N/A</v>
      </c>
      <c r="D65" s="121"/>
      <c r="E65" s="120"/>
      <c r="F65" s="121"/>
      <c r="G65" s="121"/>
      <c r="H65" s="114">
        <f t="shared" si="16"/>
        <v>0</v>
      </c>
      <c r="I65" s="114">
        <f t="shared" si="17"/>
        <v>0</v>
      </c>
      <c r="J65" s="115">
        <f t="shared" si="18"/>
        <v>0</v>
      </c>
      <c r="K65" s="114">
        <f t="shared" si="19"/>
        <v>0</v>
      </c>
      <c r="L65" s="126">
        <f t="shared" si="6"/>
        <v>0</v>
      </c>
      <c r="M65" s="126">
        <f t="shared" si="7"/>
        <v>0</v>
      </c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117">
        <v>46203.0</v>
      </c>
      <c r="B66" s="118"/>
      <c r="C66" s="111" t="str">
        <f>VLOOKUP(B66,Employees!A:B,2,FALSE)</f>
        <v>#N/A</v>
      </c>
      <c r="D66" s="119"/>
      <c r="E66" s="120"/>
      <c r="F66" s="121"/>
      <c r="G66" s="121"/>
      <c r="H66" s="114">
        <f t="shared" si="16"/>
        <v>0</v>
      </c>
      <c r="I66" s="114">
        <f t="shared" si="17"/>
        <v>0</v>
      </c>
      <c r="J66" s="115">
        <f t="shared" si="18"/>
        <v>0</v>
      </c>
      <c r="K66" s="114">
        <f t="shared" si="19"/>
        <v>0</v>
      </c>
      <c r="L66" s="126">
        <f t="shared" si="6"/>
        <v>0</v>
      </c>
      <c r="M66" s="126">
        <f t="shared" si="7"/>
        <v>0</v>
      </c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117"/>
      <c r="B67" s="118"/>
      <c r="C67" s="111" t="str">
        <f>VLOOKUP(B67,Employees!A:B,2,FALSE)</f>
        <v>#N/A</v>
      </c>
      <c r="D67" s="121"/>
      <c r="E67" s="120"/>
      <c r="F67" s="121"/>
      <c r="G67" s="121"/>
      <c r="H67" s="114">
        <f t="shared" si="16"/>
        <v>0</v>
      </c>
      <c r="I67" s="114">
        <f t="shared" si="17"/>
        <v>0</v>
      </c>
      <c r="J67" s="115">
        <f t="shared" si="18"/>
        <v>0</v>
      </c>
      <c r="K67" s="114">
        <f t="shared" si="19"/>
        <v>0</v>
      </c>
      <c r="L67" s="126">
        <f t="shared" si="6"/>
        <v>0</v>
      </c>
      <c r="M67" s="126">
        <f t="shared" si="7"/>
        <v>0</v>
      </c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6"/>
      <c r="J68" s="63"/>
      <c r="K68" s="63"/>
      <c r="L68" s="63"/>
      <c r="M68" s="64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6"/>
      <c r="J69" s="63"/>
      <c r="K69" s="63"/>
      <c r="L69" s="63"/>
      <c r="M69" s="64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6"/>
      <c r="J70" s="63"/>
      <c r="K70" s="63"/>
      <c r="L70" s="63"/>
      <c r="M70" s="64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6"/>
      <c r="J71" s="63"/>
      <c r="K71" s="63"/>
      <c r="L71" s="63"/>
      <c r="M71" s="64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6"/>
      <c r="J72" s="63"/>
      <c r="K72" s="63"/>
      <c r="L72" s="63"/>
      <c r="M72" s="64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6"/>
      <c r="J73" s="63"/>
      <c r="K73" s="63"/>
      <c r="L73" s="63"/>
      <c r="M73" s="64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6"/>
      <c r="J74" s="63"/>
      <c r="K74" s="63"/>
      <c r="L74" s="63"/>
      <c r="M74" s="64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6"/>
      <c r="J75" s="63"/>
      <c r="K75" s="63"/>
      <c r="L75" s="63"/>
      <c r="M75" s="64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6"/>
      <c r="J76" s="63"/>
      <c r="K76" s="63"/>
      <c r="L76" s="63"/>
      <c r="M76" s="64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6"/>
      <c r="J77" s="63"/>
      <c r="K77" s="63"/>
      <c r="L77" s="63"/>
      <c r="M77" s="64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6"/>
      <c r="J78" s="63"/>
      <c r="K78" s="63"/>
      <c r="L78" s="63"/>
      <c r="M78" s="64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6"/>
      <c r="J79" s="63"/>
      <c r="K79" s="63"/>
      <c r="L79" s="63"/>
      <c r="M79" s="64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6"/>
      <c r="J80" s="63"/>
      <c r="K80" s="63"/>
      <c r="L80" s="63"/>
      <c r="M80" s="64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6"/>
      <c r="J81" s="63"/>
      <c r="K81" s="63"/>
      <c r="L81" s="63"/>
      <c r="M81" s="64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6"/>
      <c r="J82" s="63"/>
      <c r="K82" s="63"/>
      <c r="L82" s="63"/>
      <c r="M82" s="64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6"/>
      <c r="J83" s="63"/>
      <c r="K83" s="63"/>
      <c r="L83" s="63"/>
      <c r="M83" s="64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6"/>
      <c r="J84" s="63"/>
      <c r="K84" s="63"/>
      <c r="L84" s="63"/>
      <c r="M84" s="64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6"/>
      <c r="J85" s="63"/>
      <c r="K85" s="63"/>
      <c r="L85" s="63"/>
      <c r="M85" s="64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6"/>
      <c r="J86" s="63"/>
      <c r="K86" s="63"/>
      <c r="L86" s="63"/>
      <c r="M86" s="64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6"/>
      <c r="J87" s="63"/>
      <c r="K87" s="63"/>
      <c r="L87" s="63"/>
      <c r="M87" s="64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6"/>
      <c r="J88" s="63"/>
      <c r="K88" s="63"/>
      <c r="L88" s="63"/>
      <c r="M88" s="64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6"/>
      <c r="J89" s="63"/>
      <c r="K89" s="63"/>
      <c r="L89" s="63"/>
      <c r="M89" s="64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6"/>
      <c r="J90" s="63"/>
      <c r="K90" s="63"/>
      <c r="L90" s="63"/>
      <c r="M90" s="64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6"/>
      <c r="J91" s="63"/>
      <c r="K91" s="63"/>
      <c r="L91" s="63"/>
      <c r="M91" s="64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6"/>
      <c r="J92" s="63"/>
      <c r="K92" s="63"/>
      <c r="L92" s="63"/>
      <c r="M92" s="64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6"/>
      <c r="J93" s="63"/>
      <c r="K93" s="63"/>
      <c r="L93" s="63"/>
      <c r="M93" s="64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6"/>
      <c r="J94" s="63"/>
      <c r="K94" s="63"/>
      <c r="L94" s="63"/>
      <c r="M94" s="64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6"/>
      <c r="J95" s="63"/>
      <c r="K95" s="63"/>
      <c r="L95" s="63"/>
      <c r="M95" s="64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6"/>
      <c r="J96" s="63"/>
      <c r="K96" s="63"/>
      <c r="L96" s="63"/>
      <c r="M96" s="64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6"/>
      <c r="J97" s="63"/>
      <c r="K97" s="63"/>
      <c r="L97" s="63"/>
      <c r="M97" s="64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6"/>
      <c r="J98" s="63"/>
      <c r="K98" s="63"/>
      <c r="L98" s="63"/>
      <c r="M98" s="64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6"/>
      <c r="J99" s="63"/>
      <c r="K99" s="63"/>
      <c r="L99" s="63"/>
      <c r="M99" s="64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6"/>
      <c r="J100" s="63"/>
      <c r="K100" s="63"/>
      <c r="L100" s="63"/>
      <c r="M100" s="64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6"/>
      <c r="J101" s="63"/>
      <c r="K101" s="63"/>
      <c r="L101" s="63"/>
      <c r="M101" s="64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6"/>
      <c r="J102" s="63"/>
      <c r="K102" s="63"/>
      <c r="L102" s="63"/>
      <c r="M102" s="64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6"/>
      <c r="J103" s="63"/>
      <c r="K103" s="63"/>
      <c r="L103" s="63"/>
      <c r="M103" s="64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6"/>
      <c r="J104" s="63"/>
      <c r="K104" s="63"/>
      <c r="L104" s="63"/>
      <c r="M104" s="64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6"/>
      <c r="J105" s="63"/>
      <c r="K105" s="63"/>
      <c r="L105" s="63"/>
      <c r="M105" s="64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6"/>
      <c r="J106" s="63"/>
      <c r="K106" s="63"/>
      <c r="L106" s="63"/>
      <c r="M106" s="64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6"/>
      <c r="J107" s="63"/>
      <c r="K107" s="63"/>
      <c r="L107" s="63"/>
      <c r="M107" s="64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6"/>
      <c r="J108" s="63"/>
      <c r="K108" s="63"/>
      <c r="L108" s="63"/>
      <c r="M108" s="64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6"/>
      <c r="J109" s="63"/>
      <c r="K109" s="63"/>
      <c r="L109" s="63"/>
      <c r="M109" s="64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6"/>
      <c r="J110" s="63"/>
      <c r="K110" s="63"/>
      <c r="L110" s="63"/>
      <c r="M110" s="64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6"/>
      <c r="J111" s="63"/>
      <c r="K111" s="63"/>
      <c r="L111" s="63"/>
      <c r="M111" s="64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6"/>
      <c r="J112" s="63"/>
      <c r="K112" s="63"/>
      <c r="L112" s="63"/>
      <c r="M112" s="64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6"/>
      <c r="J113" s="63"/>
      <c r="K113" s="63"/>
      <c r="L113" s="63"/>
      <c r="M113" s="64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6"/>
      <c r="J114" s="63"/>
      <c r="K114" s="63"/>
      <c r="L114" s="63"/>
      <c r="M114" s="64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6"/>
      <c r="J115" s="63"/>
      <c r="K115" s="63"/>
      <c r="L115" s="63"/>
      <c r="M115" s="64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6"/>
      <c r="J116" s="63"/>
      <c r="K116" s="63"/>
      <c r="L116" s="63"/>
      <c r="M116" s="64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6"/>
      <c r="J117" s="63"/>
      <c r="K117" s="63"/>
      <c r="L117" s="63"/>
      <c r="M117" s="64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6"/>
      <c r="J118" s="63"/>
      <c r="K118" s="63"/>
      <c r="L118" s="63"/>
      <c r="M118" s="64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6"/>
      <c r="J119" s="63"/>
      <c r="K119" s="63"/>
      <c r="L119" s="63"/>
      <c r="M119" s="64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6"/>
      <c r="J120" s="63"/>
      <c r="K120" s="63"/>
      <c r="L120" s="63"/>
      <c r="M120" s="64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6"/>
      <c r="J121" s="63"/>
      <c r="K121" s="63"/>
      <c r="L121" s="63"/>
      <c r="M121" s="64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6"/>
      <c r="J122" s="63"/>
      <c r="K122" s="63"/>
      <c r="L122" s="63"/>
      <c r="M122" s="64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6"/>
      <c r="J123" s="63"/>
      <c r="K123" s="63"/>
      <c r="L123" s="63"/>
      <c r="M123" s="64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6"/>
      <c r="J124" s="63"/>
      <c r="K124" s="63"/>
      <c r="L124" s="63"/>
      <c r="M124" s="64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6"/>
      <c r="J125" s="63"/>
      <c r="K125" s="63"/>
      <c r="L125" s="63"/>
      <c r="M125" s="64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6"/>
      <c r="J126" s="63"/>
      <c r="K126" s="63"/>
      <c r="L126" s="63"/>
      <c r="M126" s="64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6"/>
      <c r="J127" s="63"/>
      <c r="K127" s="63"/>
      <c r="L127" s="63"/>
      <c r="M127" s="64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6"/>
      <c r="J128" s="63"/>
      <c r="K128" s="63"/>
      <c r="L128" s="63"/>
      <c r="M128" s="64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6"/>
      <c r="J129" s="63"/>
      <c r="K129" s="63"/>
      <c r="L129" s="63"/>
      <c r="M129" s="64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6"/>
      <c r="J130" s="63"/>
      <c r="K130" s="63"/>
      <c r="L130" s="63"/>
      <c r="M130" s="64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6"/>
      <c r="J131" s="63"/>
      <c r="K131" s="63"/>
      <c r="L131" s="63"/>
      <c r="M131" s="64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6"/>
      <c r="J132" s="63"/>
      <c r="K132" s="63"/>
      <c r="L132" s="63"/>
      <c r="M132" s="64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6"/>
      <c r="J133" s="63"/>
      <c r="K133" s="63"/>
      <c r="L133" s="63"/>
      <c r="M133" s="64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6"/>
      <c r="J134" s="63"/>
      <c r="K134" s="63"/>
      <c r="L134" s="63"/>
      <c r="M134" s="64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6"/>
      <c r="J135" s="63"/>
      <c r="K135" s="63"/>
      <c r="L135" s="63"/>
      <c r="M135" s="64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6"/>
      <c r="J136" s="63"/>
      <c r="K136" s="63"/>
      <c r="L136" s="63"/>
      <c r="M136" s="64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6"/>
      <c r="J137" s="63"/>
      <c r="K137" s="63"/>
      <c r="L137" s="63"/>
      <c r="M137" s="64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6"/>
      <c r="J138" s="63"/>
      <c r="K138" s="63"/>
      <c r="L138" s="63"/>
      <c r="M138" s="64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6"/>
      <c r="J139" s="63"/>
      <c r="K139" s="63"/>
      <c r="L139" s="63"/>
      <c r="M139" s="64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6"/>
      <c r="J140" s="63"/>
      <c r="K140" s="63"/>
      <c r="L140" s="63"/>
      <c r="M140" s="64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6"/>
      <c r="J141" s="63"/>
      <c r="K141" s="63"/>
      <c r="L141" s="63"/>
      <c r="M141" s="64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6"/>
      <c r="J142" s="63"/>
      <c r="K142" s="63"/>
      <c r="L142" s="63"/>
      <c r="M142" s="64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6"/>
      <c r="J143" s="63"/>
      <c r="K143" s="63"/>
      <c r="L143" s="63"/>
      <c r="M143" s="64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6"/>
      <c r="J144" s="63"/>
      <c r="K144" s="63"/>
      <c r="L144" s="63"/>
      <c r="M144" s="64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6"/>
      <c r="J145" s="63"/>
      <c r="K145" s="63"/>
      <c r="L145" s="63"/>
      <c r="M145" s="64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6"/>
      <c r="J146" s="63"/>
      <c r="K146" s="63"/>
      <c r="L146" s="63"/>
      <c r="M146" s="64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6"/>
      <c r="J147" s="63"/>
      <c r="K147" s="63"/>
      <c r="L147" s="63"/>
      <c r="M147" s="64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6"/>
      <c r="J148" s="63"/>
      <c r="K148" s="63"/>
      <c r="L148" s="63"/>
      <c r="M148" s="64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6"/>
      <c r="J149" s="63"/>
      <c r="K149" s="63"/>
      <c r="L149" s="63"/>
      <c r="M149" s="64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6"/>
      <c r="J150" s="63"/>
      <c r="K150" s="63"/>
      <c r="L150" s="63"/>
      <c r="M150" s="64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6"/>
      <c r="J151" s="63"/>
      <c r="K151" s="63"/>
      <c r="L151" s="63"/>
      <c r="M151" s="64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6"/>
      <c r="J152" s="63"/>
      <c r="K152" s="63"/>
      <c r="L152" s="63"/>
      <c r="M152" s="64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6"/>
      <c r="J153" s="63"/>
      <c r="K153" s="63"/>
      <c r="L153" s="63"/>
      <c r="M153" s="64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6"/>
      <c r="J154" s="63"/>
      <c r="K154" s="63"/>
      <c r="L154" s="63"/>
      <c r="M154" s="64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6"/>
      <c r="J155" s="63"/>
      <c r="K155" s="63"/>
      <c r="L155" s="63"/>
      <c r="M155" s="64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6"/>
      <c r="J156" s="63"/>
      <c r="K156" s="63"/>
      <c r="L156" s="63"/>
      <c r="M156" s="64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6"/>
      <c r="J157" s="63"/>
      <c r="K157" s="63"/>
      <c r="L157" s="63"/>
      <c r="M157" s="64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6"/>
      <c r="J158" s="63"/>
      <c r="K158" s="63"/>
      <c r="L158" s="63"/>
      <c r="M158" s="64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6"/>
      <c r="J159" s="63"/>
      <c r="K159" s="63"/>
      <c r="L159" s="63"/>
      <c r="M159" s="64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6"/>
      <c r="J160" s="63"/>
      <c r="K160" s="63"/>
      <c r="L160" s="63"/>
      <c r="M160" s="64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6"/>
      <c r="J161" s="63"/>
      <c r="K161" s="63"/>
      <c r="L161" s="63"/>
      <c r="M161" s="64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6"/>
      <c r="J162" s="63"/>
      <c r="K162" s="63"/>
      <c r="L162" s="63"/>
      <c r="M162" s="64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6"/>
      <c r="J163" s="63"/>
      <c r="K163" s="63"/>
      <c r="L163" s="63"/>
      <c r="M163" s="64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6"/>
      <c r="J164" s="63"/>
      <c r="K164" s="63"/>
      <c r="L164" s="63"/>
      <c r="M164" s="64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6"/>
      <c r="J165" s="63"/>
      <c r="K165" s="63"/>
      <c r="L165" s="63"/>
      <c r="M165" s="64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6"/>
      <c r="J166" s="63"/>
      <c r="K166" s="63"/>
      <c r="L166" s="63"/>
      <c r="M166" s="64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6"/>
      <c r="J167" s="63"/>
      <c r="K167" s="63"/>
      <c r="L167" s="63"/>
      <c r="M167" s="64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6"/>
      <c r="J168" s="63"/>
      <c r="K168" s="63"/>
      <c r="L168" s="63"/>
      <c r="M168" s="64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6"/>
      <c r="J169" s="63"/>
      <c r="K169" s="63"/>
      <c r="L169" s="63"/>
      <c r="M169" s="64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6"/>
      <c r="J170" s="63"/>
      <c r="K170" s="63"/>
      <c r="L170" s="63"/>
      <c r="M170" s="64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6"/>
      <c r="J171" s="63"/>
      <c r="K171" s="63"/>
      <c r="L171" s="63"/>
      <c r="M171" s="64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6"/>
      <c r="J172" s="63"/>
      <c r="K172" s="63"/>
      <c r="L172" s="63"/>
      <c r="M172" s="64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6"/>
      <c r="J173" s="63"/>
      <c r="K173" s="63"/>
      <c r="L173" s="63"/>
      <c r="M173" s="64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6"/>
      <c r="J174" s="63"/>
      <c r="K174" s="63"/>
      <c r="L174" s="63"/>
      <c r="M174" s="64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6"/>
      <c r="J175" s="63"/>
      <c r="K175" s="63"/>
      <c r="L175" s="63"/>
      <c r="M175" s="64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6"/>
      <c r="J176" s="63"/>
      <c r="K176" s="63"/>
      <c r="L176" s="63"/>
      <c r="M176" s="64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6"/>
      <c r="J177" s="63"/>
      <c r="K177" s="63"/>
      <c r="L177" s="63"/>
      <c r="M177" s="64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6"/>
      <c r="J178" s="63"/>
      <c r="K178" s="63"/>
      <c r="L178" s="63"/>
      <c r="M178" s="64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6"/>
      <c r="J179" s="63"/>
      <c r="K179" s="63"/>
      <c r="L179" s="63"/>
      <c r="M179" s="64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6"/>
      <c r="J180" s="63"/>
      <c r="K180" s="63"/>
      <c r="L180" s="63"/>
      <c r="M180" s="64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6"/>
      <c r="J181" s="63"/>
      <c r="K181" s="63"/>
      <c r="L181" s="63"/>
      <c r="M181" s="64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6"/>
      <c r="J182" s="63"/>
      <c r="K182" s="63"/>
      <c r="L182" s="63"/>
      <c r="M182" s="64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6"/>
      <c r="J183" s="63"/>
      <c r="K183" s="63"/>
      <c r="L183" s="63"/>
      <c r="M183" s="64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6"/>
      <c r="J184" s="63"/>
      <c r="K184" s="63"/>
      <c r="L184" s="63"/>
      <c r="M184" s="64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6"/>
      <c r="J185" s="63"/>
      <c r="K185" s="63"/>
      <c r="L185" s="63"/>
      <c r="M185" s="64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6"/>
      <c r="J186" s="63"/>
      <c r="K186" s="63"/>
      <c r="L186" s="63"/>
      <c r="M186" s="64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6"/>
      <c r="J187" s="63"/>
      <c r="K187" s="63"/>
      <c r="L187" s="63"/>
      <c r="M187" s="64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6"/>
      <c r="J188" s="63"/>
      <c r="K188" s="63"/>
      <c r="L188" s="63"/>
      <c r="M188" s="64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6"/>
      <c r="J189" s="63"/>
      <c r="K189" s="63"/>
      <c r="L189" s="63"/>
      <c r="M189" s="64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6"/>
      <c r="J190" s="63"/>
      <c r="K190" s="63"/>
      <c r="L190" s="63"/>
      <c r="M190" s="64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6"/>
      <c r="J191" s="63"/>
      <c r="K191" s="63"/>
      <c r="L191" s="63"/>
      <c r="M191" s="64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6"/>
      <c r="J192" s="63"/>
      <c r="K192" s="63"/>
      <c r="L192" s="63"/>
      <c r="M192" s="64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6"/>
      <c r="J193" s="63"/>
      <c r="K193" s="63"/>
      <c r="L193" s="63"/>
      <c r="M193" s="64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6"/>
      <c r="J194" s="63"/>
      <c r="K194" s="63"/>
      <c r="L194" s="63"/>
      <c r="M194" s="64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6"/>
      <c r="J195" s="63"/>
      <c r="K195" s="63"/>
      <c r="L195" s="63"/>
      <c r="M195" s="64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6"/>
      <c r="J196" s="63"/>
      <c r="K196" s="63"/>
      <c r="L196" s="63"/>
      <c r="M196" s="64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6"/>
      <c r="J197" s="63"/>
      <c r="K197" s="63"/>
      <c r="L197" s="63"/>
      <c r="M197" s="64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6"/>
      <c r="J198" s="63"/>
      <c r="K198" s="63"/>
      <c r="L198" s="63"/>
      <c r="M198" s="64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6"/>
      <c r="J199" s="63"/>
      <c r="K199" s="63"/>
      <c r="L199" s="63"/>
      <c r="M199" s="64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6"/>
      <c r="J200" s="63"/>
      <c r="K200" s="63"/>
      <c r="L200" s="63"/>
      <c r="M200" s="64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6"/>
      <c r="J201" s="63"/>
      <c r="K201" s="63"/>
      <c r="L201" s="63"/>
      <c r="M201" s="64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6"/>
      <c r="J202" s="63"/>
      <c r="K202" s="63"/>
      <c r="L202" s="63"/>
      <c r="M202" s="64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6"/>
      <c r="J203" s="63"/>
      <c r="K203" s="63"/>
      <c r="L203" s="63"/>
      <c r="M203" s="64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6"/>
      <c r="J204" s="63"/>
      <c r="K204" s="63"/>
      <c r="L204" s="63"/>
      <c r="M204" s="64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6"/>
      <c r="J205" s="63"/>
      <c r="K205" s="63"/>
      <c r="L205" s="63"/>
      <c r="M205" s="64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6"/>
      <c r="J206" s="63"/>
      <c r="K206" s="63"/>
      <c r="L206" s="63"/>
      <c r="M206" s="64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6"/>
      <c r="J207" s="63"/>
      <c r="K207" s="63"/>
      <c r="L207" s="63"/>
      <c r="M207" s="64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6"/>
      <c r="J208" s="63"/>
      <c r="K208" s="63"/>
      <c r="L208" s="63"/>
      <c r="M208" s="64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6"/>
      <c r="J209" s="63"/>
      <c r="K209" s="63"/>
      <c r="L209" s="63"/>
      <c r="M209" s="64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6"/>
      <c r="J210" s="63"/>
      <c r="K210" s="63"/>
      <c r="L210" s="63"/>
      <c r="M210" s="64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6"/>
      <c r="J211" s="63"/>
      <c r="K211" s="63"/>
      <c r="L211" s="63"/>
      <c r="M211" s="64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6"/>
      <c r="J212" s="63"/>
      <c r="K212" s="63"/>
      <c r="L212" s="63"/>
      <c r="M212" s="64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6"/>
      <c r="J213" s="63"/>
      <c r="K213" s="63"/>
      <c r="L213" s="63"/>
      <c r="M213" s="64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6"/>
      <c r="J214" s="63"/>
      <c r="K214" s="63"/>
      <c r="L214" s="63"/>
      <c r="M214" s="64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6"/>
      <c r="J215" s="63"/>
      <c r="K215" s="63"/>
      <c r="L215" s="63"/>
      <c r="M215" s="64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6"/>
      <c r="J216" s="63"/>
      <c r="K216" s="63"/>
      <c r="L216" s="63"/>
      <c r="M216" s="64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6"/>
      <c r="J217" s="63"/>
      <c r="K217" s="63"/>
      <c r="L217" s="63"/>
      <c r="M217" s="64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6"/>
      <c r="J218" s="63"/>
      <c r="K218" s="63"/>
      <c r="L218" s="63"/>
      <c r="M218" s="64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6"/>
      <c r="J219" s="63"/>
      <c r="K219" s="63"/>
      <c r="L219" s="63"/>
      <c r="M219" s="64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6"/>
      <c r="J220" s="63"/>
      <c r="K220" s="63"/>
      <c r="L220" s="63"/>
      <c r="M220" s="64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6"/>
      <c r="J221" s="63"/>
      <c r="K221" s="63"/>
      <c r="L221" s="63"/>
      <c r="M221" s="64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6"/>
      <c r="J222" s="63"/>
      <c r="K222" s="63"/>
      <c r="L222" s="63"/>
      <c r="M222" s="64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6"/>
      <c r="J223" s="63"/>
      <c r="K223" s="63"/>
      <c r="L223" s="63"/>
      <c r="M223" s="64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6"/>
      <c r="J224" s="63"/>
      <c r="K224" s="63"/>
      <c r="L224" s="63"/>
      <c r="M224" s="64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6"/>
      <c r="J225" s="63"/>
      <c r="K225" s="63"/>
      <c r="L225" s="63"/>
      <c r="M225" s="64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6"/>
      <c r="J226" s="63"/>
      <c r="K226" s="63"/>
      <c r="L226" s="63"/>
      <c r="M226" s="64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6"/>
      <c r="J227" s="63"/>
      <c r="K227" s="63"/>
      <c r="L227" s="63"/>
      <c r="M227" s="64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6"/>
      <c r="J228" s="63"/>
      <c r="K228" s="63"/>
      <c r="L228" s="63"/>
      <c r="M228" s="64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6"/>
      <c r="J229" s="63"/>
      <c r="K229" s="63"/>
      <c r="L229" s="63"/>
      <c r="M229" s="64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6"/>
      <c r="J230" s="63"/>
      <c r="K230" s="63"/>
      <c r="L230" s="63"/>
      <c r="M230" s="64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6"/>
      <c r="J231" s="63"/>
      <c r="K231" s="63"/>
      <c r="L231" s="63"/>
      <c r="M231" s="64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6"/>
      <c r="J232" s="63"/>
      <c r="K232" s="63"/>
      <c r="L232" s="63"/>
      <c r="M232" s="64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6"/>
      <c r="J233" s="63"/>
      <c r="K233" s="63"/>
      <c r="L233" s="63"/>
      <c r="M233" s="64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6"/>
      <c r="J234" s="63"/>
      <c r="K234" s="63"/>
      <c r="L234" s="63"/>
      <c r="M234" s="64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6"/>
      <c r="J235" s="63"/>
      <c r="K235" s="63"/>
      <c r="L235" s="63"/>
      <c r="M235" s="64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6"/>
      <c r="J236" s="63"/>
      <c r="K236" s="63"/>
      <c r="L236" s="63"/>
      <c r="M236" s="64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6"/>
      <c r="J237" s="63"/>
      <c r="K237" s="63"/>
      <c r="L237" s="63"/>
      <c r="M237" s="64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6"/>
      <c r="J238" s="63"/>
      <c r="K238" s="63"/>
      <c r="L238" s="63"/>
      <c r="M238" s="64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6"/>
      <c r="J239" s="63"/>
      <c r="K239" s="63"/>
      <c r="L239" s="63"/>
      <c r="M239" s="64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6"/>
      <c r="J240" s="63"/>
      <c r="K240" s="63"/>
      <c r="L240" s="63"/>
      <c r="M240" s="64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6"/>
      <c r="J241" s="63"/>
      <c r="K241" s="63"/>
      <c r="L241" s="63"/>
      <c r="M241" s="64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6"/>
      <c r="J242" s="63"/>
      <c r="K242" s="63"/>
      <c r="L242" s="63"/>
      <c r="M242" s="64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6"/>
      <c r="J243" s="63"/>
      <c r="K243" s="63"/>
      <c r="L243" s="63"/>
      <c r="M243" s="64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6"/>
      <c r="J244" s="63"/>
      <c r="K244" s="63"/>
      <c r="L244" s="63"/>
      <c r="M244" s="64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6"/>
      <c r="J245" s="63"/>
      <c r="K245" s="63"/>
      <c r="L245" s="63"/>
      <c r="M245" s="64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6"/>
      <c r="J246" s="63"/>
      <c r="K246" s="63"/>
      <c r="L246" s="63"/>
      <c r="M246" s="64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6"/>
      <c r="J247" s="63"/>
      <c r="K247" s="63"/>
      <c r="L247" s="63"/>
      <c r="M247" s="64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6"/>
      <c r="J248" s="63"/>
      <c r="K248" s="63"/>
      <c r="L248" s="63"/>
      <c r="M248" s="64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6"/>
      <c r="J249" s="63"/>
      <c r="K249" s="63"/>
      <c r="L249" s="63"/>
      <c r="M249" s="64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6"/>
      <c r="J250" s="63"/>
      <c r="K250" s="63"/>
      <c r="L250" s="63"/>
      <c r="M250" s="64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6"/>
      <c r="J251" s="63"/>
      <c r="K251" s="63"/>
      <c r="L251" s="63"/>
      <c r="M251" s="64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6"/>
      <c r="J252" s="63"/>
      <c r="K252" s="63"/>
      <c r="L252" s="63"/>
      <c r="M252" s="64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6"/>
      <c r="J253" s="63"/>
      <c r="K253" s="63"/>
      <c r="L253" s="63"/>
      <c r="M253" s="64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6"/>
      <c r="J254" s="63"/>
      <c r="K254" s="63"/>
      <c r="L254" s="63"/>
      <c r="M254" s="64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6"/>
      <c r="J255" s="63"/>
      <c r="K255" s="63"/>
      <c r="L255" s="63"/>
      <c r="M255" s="64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6"/>
      <c r="J256" s="63"/>
      <c r="K256" s="63"/>
      <c r="L256" s="63"/>
      <c r="M256" s="64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6"/>
      <c r="J257" s="63"/>
      <c r="K257" s="63"/>
      <c r="L257" s="63"/>
      <c r="M257" s="64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6"/>
      <c r="J258" s="63"/>
      <c r="K258" s="63"/>
      <c r="L258" s="63"/>
      <c r="M258" s="64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6"/>
      <c r="J259" s="63"/>
      <c r="K259" s="63"/>
      <c r="L259" s="63"/>
      <c r="M259" s="64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6"/>
      <c r="J260" s="63"/>
      <c r="K260" s="63"/>
      <c r="L260" s="63"/>
      <c r="M260" s="64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6"/>
      <c r="J261" s="63"/>
      <c r="K261" s="63"/>
      <c r="L261" s="63"/>
      <c r="M261" s="64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6"/>
      <c r="J262" s="63"/>
      <c r="K262" s="63"/>
      <c r="L262" s="63"/>
      <c r="M262" s="64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6"/>
      <c r="J263" s="63"/>
      <c r="K263" s="63"/>
      <c r="L263" s="63"/>
      <c r="M263" s="64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6"/>
      <c r="J264" s="63"/>
      <c r="K264" s="63"/>
      <c r="L264" s="63"/>
      <c r="M264" s="64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6"/>
      <c r="J265" s="63"/>
      <c r="K265" s="63"/>
      <c r="L265" s="63"/>
      <c r="M265" s="64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6"/>
      <c r="J266" s="63"/>
      <c r="K266" s="63"/>
      <c r="L266" s="63"/>
      <c r="M266" s="64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6"/>
      <c r="J267" s="63"/>
      <c r="K267" s="63"/>
      <c r="L267" s="63"/>
      <c r="M267" s="64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6"/>
      <c r="J268" s="63"/>
      <c r="K268" s="63"/>
      <c r="L268" s="63"/>
      <c r="M268" s="64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6"/>
      <c r="J269" s="63"/>
      <c r="K269" s="63"/>
      <c r="L269" s="63"/>
      <c r="M269" s="64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6"/>
      <c r="J270" s="63"/>
      <c r="K270" s="63"/>
      <c r="L270" s="63"/>
      <c r="M270" s="64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6"/>
      <c r="J271" s="63"/>
      <c r="K271" s="63"/>
      <c r="L271" s="63"/>
      <c r="M271" s="64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6"/>
      <c r="J272" s="63"/>
      <c r="K272" s="63"/>
      <c r="L272" s="63"/>
      <c r="M272" s="64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6"/>
      <c r="J273" s="63"/>
      <c r="K273" s="63"/>
      <c r="L273" s="63"/>
      <c r="M273" s="64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6"/>
      <c r="J274" s="63"/>
      <c r="K274" s="63"/>
      <c r="L274" s="63"/>
      <c r="M274" s="64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6"/>
      <c r="J275" s="63"/>
      <c r="K275" s="63"/>
      <c r="L275" s="63"/>
      <c r="M275" s="64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6"/>
      <c r="J276" s="63"/>
      <c r="K276" s="63"/>
      <c r="L276" s="63"/>
      <c r="M276" s="64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6"/>
      <c r="J277" s="63"/>
      <c r="K277" s="63"/>
      <c r="L277" s="63"/>
      <c r="M277" s="64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6"/>
      <c r="J278" s="63"/>
      <c r="K278" s="63"/>
      <c r="L278" s="63"/>
      <c r="M278" s="64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6"/>
      <c r="J279" s="63"/>
      <c r="K279" s="63"/>
      <c r="L279" s="63"/>
      <c r="M279" s="64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6"/>
      <c r="J280" s="63"/>
      <c r="K280" s="63"/>
      <c r="L280" s="63"/>
      <c r="M280" s="64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6"/>
      <c r="J281" s="63"/>
      <c r="K281" s="63"/>
      <c r="L281" s="63"/>
      <c r="M281" s="64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6"/>
      <c r="J282" s="63"/>
      <c r="K282" s="63"/>
      <c r="L282" s="63"/>
      <c r="M282" s="64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6"/>
      <c r="J283" s="63"/>
      <c r="K283" s="63"/>
      <c r="L283" s="63"/>
      <c r="M283" s="64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6"/>
      <c r="J284" s="63"/>
      <c r="K284" s="63"/>
      <c r="L284" s="63"/>
      <c r="M284" s="64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6"/>
      <c r="J285" s="63"/>
      <c r="K285" s="63"/>
      <c r="L285" s="63"/>
      <c r="M285" s="64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6"/>
      <c r="J286" s="63"/>
      <c r="K286" s="63"/>
      <c r="L286" s="63"/>
      <c r="M286" s="64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6"/>
      <c r="J287" s="63"/>
      <c r="K287" s="63"/>
      <c r="L287" s="63"/>
      <c r="M287" s="64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6"/>
      <c r="J288" s="63"/>
      <c r="K288" s="63"/>
      <c r="L288" s="63"/>
      <c r="M288" s="64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6"/>
      <c r="J289" s="63"/>
      <c r="K289" s="63"/>
      <c r="L289" s="63"/>
      <c r="M289" s="64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6"/>
      <c r="J290" s="63"/>
      <c r="K290" s="63"/>
      <c r="L290" s="63"/>
      <c r="M290" s="64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6"/>
      <c r="J291" s="63"/>
      <c r="K291" s="63"/>
      <c r="L291" s="63"/>
      <c r="M291" s="64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6"/>
      <c r="J292" s="63"/>
      <c r="K292" s="63"/>
      <c r="L292" s="63"/>
      <c r="M292" s="64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6"/>
      <c r="J293" s="63"/>
      <c r="K293" s="63"/>
      <c r="L293" s="63"/>
      <c r="M293" s="64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6"/>
      <c r="J294" s="63"/>
      <c r="K294" s="63"/>
      <c r="L294" s="63"/>
      <c r="M294" s="64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6"/>
      <c r="J295" s="63"/>
      <c r="K295" s="63"/>
      <c r="L295" s="63"/>
      <c r="M295" s="64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6"/>
      <c r="J296" s="63"/>
      <c r="K296" s="63"/>
      <c r="L296" s="63"/>
      <c r="M296" s="64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6"/>
      <c r="J297" s="63"/>
      <c r="K297" s="63"/>
      <c r="L297" s="63"/>
      <c r="M297" s="64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6"/>
      <c r="J298" s="63"/>
      <c r="K298" s="63"/>
      <c r="L298" s="63"/>
      <c r="M298" s="64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6"/>
      <c r="J299" s="63"/>
      <c r="K299" s="63"/>
      <c r="L299" s="63"/>
      <c r="M299" s="64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6"/>
      <c r="J300" s="63"/>
      <c r="K300" s="63"/>
      <c r="L300" s="63"/>
      <c r="M300" s="64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6"/>
      <c r="J301" s="63"/>
      <c r="K301" s="63"/>
      <c r="L301" s="63"/>
      <c r="M301" s="64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6"/>
      <c r="J302" s="63"/>
      <c r="K302" s="63"/>
      <c r="L302" s="63"/>
      <c r="M302" s="64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6"/>
      <c r="J303" s="63"/>
      <c r="K303" s="63"/>
      <c r="L303" s="63"/>
      <c r="M303" s="64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6"/>
      <c r="J304" s="63"/>
      <c r="K304" s="63"/>
      <c r="L304" s="63"/>
      <c r="M304" s="64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6"/>
      <c r="J305" s="63"/>
      <c r="K305" s="63"/>
      <c r="L305" s="63"/>
      <c r="M305" s="64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6"/>
      <c r="J306" s="63"/>
      <c r="K306" s="63"/>
      <c r="L306" s="63"/>
      <c r="M306" s="64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6"/>
      <c r="J307" s="63"/>
      <c r="K307" s="63"/>
      <c r="L307" s="63"/>
      <c r="M307" s="64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6"/>
      <c r="J308" s="63"/>
      <c r="K308" s="63"/>
      <c r="L308" s="63"/>
      <c r="M308" s="64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6"/>
      <c r="J309" s="63"/>
      <c r="K309" s="63"/>
      <c r="L309" s="63"/>
      <c r="M309" s="64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6"/>
      <c r="J310" s="63"/>
      <c r="K310" s="63"/>
      <c r="L310" s="63"/>
      <c r="M310" s="64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6"/>
      <c r="J311" s="63"/>
      <c r="K311" s="63"/>
      <c r="L311" s="63"/>
      <c r="M311" s="64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6"/>
      <c r="J312" s="63"/>
      <c r="K312" s="63"/>
      <c r="L312" s="63"/>
      <c r="M312" s="64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6"/>
      <c r="J313" s="63"/>
      <c r="K313" s="63"/>
      <c r="L313" s="63"/>
      <c r="M313" s="64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6"/>
      <c r="J314" s="63"/>
      <c r="K314" s="63"/>
      <c r="L314" s="63"/>
      <c r="M314" s="64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6"/>
      <c r="J315" s="63"/>
      <c r="K315" s="63"/>
      <c r="L315" s="63"/>
      <c r="M315" s="64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6"/>
      <c r="J316" s="63"/>
      <c r="K316" s="63"/>
      <c r="L316" s="63"/>
      <c r="M316" s="64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6"/>
      <c r="J317" s="63"/>
      <c r="K317" s="63"/>
      <c r="L317" s="63"/>
      <c r="M317" s="64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6"/>
      <c r="J318" s="63"/>
      <c r="K318" s="63"/>
      <c r="L318" s="63"/>
      <c r="M318" s="64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6"/>
      <c r="J319" s="63"/>
      <c r="K319" s="63"/>
      <c r="L319" s="63"/>
      <c r="M319" s="64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6"/>
      <c r="J320" s="63"/>
      <c r="K320" s="63"/>
      <c r="L320" s="63"/>
      <c r="M320" s="64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6"/>
      <c r="J321" s="63"/>
      <c r="K321" s="63"/>
      <c r="L321" s="63"/>
      <c r="M321" s="64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6"/>
      <c r="J322" s="63"/>
      <c r="K322" s="63"/>
      <c r="L322" s="63"/>
      <c r="M322" s="64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6"/>
      <c r="J323" s="63"/>
      <c r="K323" s="63"/>
      <c r="L323" s="63"/>
      <c r="M323" s="64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6"/>
      <c r="J324" s="63"/>
      <c r="K324" s="63"/>
      <c r="L324" s="63"/>
      <c r="M324" s="64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6"/>
      <c r="J325" s="63"/>
      <c r="K325" s="63"/>
      <c r="L325" s="63"/>
      <c r="M325" s="64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6"/>
      <c r="J326" s="63"/>
      <c r="K326" s="63"/>
      <c r="L326" s="63"/>
      <c r="M326" s="64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6"/>
      <c r="J327" s="63"/>
      <c r="K327" s="63"/>
      <c r="L327" s="63"/>
      <c r="M327" s="64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6"/>
      <c r="J328" s="63"/>
      <c r="K328" s="63"/>
      <c r="L328" s="63"/>
      <c r="M328" s="64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6"/>
      <c r="J329" s="63"/>
      <c r="K329" s="63"/>
      <c r="L329" s="63"/>
      <c r="M329" s="64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6"/>
      <c r="J330" s="63"/>
      <c r="K330" s="63"/>
      <c r="L330" s="63"/>
      <c r="M330" s="64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6"/>
      <c r="J331" s="63"/>
      <c r="K331" s="63"/>
      <c r="L331" s="63"/>
      <c r="M331" s="64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6"/>
      <c r="J332" s="63"/>
      <c r="K332" s="63"/>
      <c r="L332" s="63"/>
      <c r="M332" s="64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6"/>
      <c r="J333" s="63"/>
      <c r="K333" s="63"/>
      <c r="L333" s="63"/>
      <c r="M333" s="64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6"/>
      <c r="J334" s="63"/>
      <c r="K334" s="63"/>
      <c r="L334" s="63"/>
      <c r="M334" s="64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6"/>
      <c r="J335" s="63"/>
      <c r="K335" s="63"/>
      <c r="L335" s="63"/>
      <c r="M335" s="64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6"/>
      <c r="J336" s="63"/>
      <c r="K336" s="63"/>
      <c r="L336" s="63"/>
      <c r="M336" s="64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6"/>
      <c r="J337" s="63"/>
      <c r="K337" s="63"/>
      <c r="L337" s="63"/>
      <c r="M337" s="64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6"/>
      <c r="J338" s="63"/>
      <c r="K338" s="63"/>
      <c r="L338" s="63"/>
      <c r="M338" s="64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6"/>
      <c r="J339" s="63"/>
      <c r="K339" s="63"/>
      <c r="L339" s="63"/>
      <c r="M339" s="64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6"/>
      <c r="J340" s="63"/>
      <c r="K340" s="63"/>
      <c r="L340" s="63"/>
      <c r="M340" s="64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6"/>
      <c r="J341" s="63"/>
      <c r="K341" s="63"/>
      <c r="L341" s="63"/>
      <c r="M341" s="64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6"/>
      <c r="J342" s="63"/>
      <c r="K342" s="63"/>
      <c r="L342" s="63"/>
      <c r="M342" s="64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6"/>
      <c r="J343" s="63"/>
      <c r="K343" s="63"/>
      <c r="L343" s="63"/>
      <c r="M343" s="64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6"/>
      <c r="J344" s="63"/>
      <c r="K344" s="63"/>
      <c r="L344" s="63"/>
      <c r="M344" s="64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6"/>
      <c r="J345" s="63"/>
      <c r="K345" s="63"/>
      <c r="L345" s="63"/>
      <c r="M345" s="64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6"/>
      <c r="J346" s="63"/>
      <c r="K346" s="63"/>
      <c r="L346" s="63"/>
      <c r="M346" s="64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6"/>
      <c r="J347" s="63"/>
      <c r="K347" s="63"/>
      <c r="L347" s="63"/>
      <c r="M347" s="64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6"/>
      <c r="J348" s="63"/>
      <c r="K348" s="63"/>
      <c r="L348" s="63"/>
      <c r="M348" s="64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6"/>
      <c r="J349" s="63"/>
      <c r="K349" s="63"/>
      <c r="L349" s="63"/>
      <c r="M349" s="64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6"/>
      <c r="J350" s="63"/>
      <c r="K350" s="63"/>
      <c r="L350" s="63"/>
      <c r="M350" s="64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6"/>
      <c r="J351" s="63"/>
      <c r="K351" s="63"/>
      <c r="L351" s="63"/>
      <c r="M351" s="64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6"/>
      <c r="J352" s="63"/>
      <c r="K352" s="63"/>
      <c r="L352" s="63"/>
      <c r="M352" s="64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6"/>
      <c r="J353" s="63"/>
      <c r="K353" s="63"/>
      <c r="L353" s="63"/>
      <c r="M353" s="64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6"/>
      <c r="J354" s="63"/>
      <c r="K354" s="63"/>
      <c r="L354" s="63"/>
      <c r="M354" s="64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6"/>
      <c r="J355" s="63"/>
      <c r="K355" s="63"/>
      <c r="L355" s="63"/>
      <c r="M355" s="64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6"/>
      <c r="J356" s="63"/>
      <c r="K356" s="63"/>
      <c r="L356" s="63"/>
      <c r="M356" s="64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6"/>
      <c r="J357" s="63"/>
      <c r="K357" s="63"/>
      <c r="L357" s="63"/>
      <c r="M357" s="64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6"/>
      <c r="J358" s="63"/>
      <c r="K358" s="63"/>
      <c r="L358" s="63"/>
      <c r="M358" s="64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6"/>
      <c r="J359" s="63"/>
      <c r="K359" s="63"/>
      <c r="L359" s="63"/>
      <c r="M359" s="64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6"/>
      <c r="J360" s="63"/>
      <c r="K360" s="63"/>
      <c r="L360" s="63"/>
      <c r="M360" s="64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6"/>
      <c r="J361" s="63"/>
      <c r="K361" s="63"/>
      <c r="L361" s="63"/>
      <c r="M361" s="64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6"/>
      <c r="J362" s="63"/>
      <c r="K362" s="63"/>
      <c r="L362" s="63"/>
      <c r="M362" s="64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6"/>
      <c r="J363" s="63"/>
      <c r="K363" s="63"/>
      <c r="L363" s="63"/>
      <c r="M363" s="64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6"/>
      <c r="J364" s="63"/>
      <c r="K364" s="63"/>
      <c r="L364" s="63"/>
      <c r="M364" s="64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6"/>
      <c r="J365" s="63"/>
      <c r="K365" s="63"/>
      <c r="L365" s="63"/>
      <c r="M365" s="64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6"/>
      <c r="J366" s="63"/>
      <c r="K366" s="63"/>
      <c r="L366" s="63"/>
      <c r="M366" s="64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6"/>
      <c r="J367" s="63"/>
      <c r="K367" s="63"/>
      <c r="L367" s="63"/>
      <c r="M367" s="64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6"/>
      <c r="J368" s="63"/>
      <c r="K368" s="63"/>
      <c r="L368" s="63"/>
      <c r="M368" s="64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6"/>
      <c r="J369" s="63"/>
      <c r="K369" s="63"/>
      <c r="L369" s="63"/>
      <c r="M369" s="64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6"/>
      <c r="J370" s="63"/>
      <c r="K370" s="63"/>
      <c r="L370" s="63"/>
      <c r="M370" s="64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6"/>
      <c r="J371" s="63"/>
      <c r="K371" s="63"/>
      <c r="L371" s="63"/>
      <c r="M371" s="64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6"/>
      <c r="J372" s="63"/>
      <c r="K372" s="63"/>
      <c r="L372" s="63"/>
      <c r="M372" s="64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6"/>
      <c r="J373" s="63"/>
      <c r="K373" s="63"/>
      <c r="L373" s="63"/>
      <c r="M373" s="64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6"/>
      <c r="J374" s="63"/>
      <c r="K374" s="63"/>
      <c r="L374" s="63"/>
      <c r="M374" s="64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6"/>
      <c r="J375" s="63"/>
      <c r="K375" s="63"/>
      <c r="L375" s="63"/>
      <c r="M375" s="64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6"/>
      <c r="J376" s="63"/>
      <c r="K376" s="63"/>
      <c r="L376" s="63"/>
      <c r="M376" s="64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6"/>
      <c r="J377" s="63"/>
      <c r="K377" s="63"/>
      <c r="L377" s="63"/>
      <c r="M377" s="64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6"/>
      <c r="J378" s="63"/>
      <c r="K378" s="63"/>
      <c r="L378" s="63"/>
      <c r="M378" s="64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6"/>
      <c r="J379" s="63"/>
      <c r="K379" s="63"/>
      <c r="L379" s="63"/>
      <c r="M379" s="64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6"/>
      <c r="J380" s="63"/>
      <c r="K380" s="63"/>
      <c r="L380" s="63"/>
      <c r="M380" s="64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6"/>
      <c r="J381" s="63"/>
      <c r="K381" s="63"/>
      <c r="L381" s="63"/>
      <c r="M381" s="64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6"/>
      <c r="J382" s="63"/>
      <c r="K382" s="63"/>
      <c r="L382" s="63"/>
      <c r="M382" s="64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6"/>
      <c r="J383" s="63"/>
      <c r="K383" s="63"/>
      <c r="L383" s="63"/>
      <c r="M383" s="64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6"/>
      <c r="J384" s="63"/>
      <c r="K384" s="63"/>
      <c r="L384" s="63"/>
      <c r="M384" s="64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6"/>
      <c r="J385" s="63"/>
      <c r="K385" s="63"/>
      <c r="L385" s="63"/>
      <c r="M385" s="64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6"/>
      <c r="J386" s="63"/>
      <c r="K386" s="63"/>
      <c r="L386" s="63"/>
      <c r="M386" s="64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6"/>
      <c r="J387" s="63"/>
      <c r="K387" s="63"/>
      <c r="L387" s="63"/>
      <c r="M387" s="64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6"/>
      <c r="J388" s="63"/>
      <c r="K388" s="63"/>
      <c r="L388" s="63"/>
      <c r="M388" s="64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6"/>
      <c r="J389" s="63"/>
      <c r="K389" s="63"/>
      <c r="L389" s="63"/>
      <c r="M389" s="64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6"/>
      <c r="J390" s="63"/>
      <c r="K390" s="63"/>
      <c r="L390" s="63"/>
      <c r="M390" s="64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6"/>
      <c r="J391" s="63"/>
      <c r="K391" s="63"/>
      <c r="L391" s="63"/>
      <c r="M391" s="64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6"/>
      <c r="J392" s="63"/>
      <c r="K392" s="63"/>
      <c r="L392" s="63"/>
      <c r="M392" s="64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6"/>
      <c r="J393" s="63"/>
      <c r="K393" s="63"/>
      <c r="L393" s="63"/>
      <c r="M393" s="64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6"/>
      <c r="J394" s="63"/>
      <c r="K394" s="63"/>
      <c r="L394" s="63"/>
      <c r="M394" s="64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6"/>
      <c r="J395" s="63"/>
      <c r="K395" s="63"/>
      <c r="L395" s="63"/>
      <c r="M395" s="64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6"/>
      <c r="J396" s="63"/>
      <c r="K396" s="63"/>
      <c r="L396" s="63"/>
      <c r="M396" s="64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6"/>
      <c r="J397" s="63"/>
      <c r="K397" s="63"/>
      <c r="L397" s="63"/>
      <c r="M397" s="64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6"/>
      <c r="J398" s="63"/>
      <c r="K398" s="63"/>
      <c r="L398" s="63"/>
      <c r="M398" s="64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6"/>
      <c r="J399" s="63"/>
      <c r="K399" s="63"/>
      <c r="L399" s="63"/>
      <c r="M399" s="64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6"/>
      <c r="J400" s="63"/>
      <c r="K400" s="63"/>
      <c r="L400" s="63"/>
      <c r="M400" s="64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6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6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6"/>
      <c r="J403" s="63"/>
      <c r="K403" s="63"/>
      <c r="L403" s="63"/>
      <c r="M403" s="64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6"/>
      <c r="J404" s="63"/>
      <c r="K404" s="63"/>
      <c r="L404" s="63"/>
      <c r="M404" s="64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6"/>
      <c r="J405" s="63"/>
      <c r="K405" s="63"/>
      <c r="L405" s="63"/>
      <c r="M405" s="64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6"/>
      <c r="J406" s="63"/>
      <c r="K406" s="63"/>
      <c r="L406" s="63"/>
      <c r="M406" s="64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6"/>
      <c r="J407" s="63"/>
      <c r="K407" s="63"/>
      <c r="L407" s="63"/>
      <c r="M407" s="64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6"/>
      <c r="J408" s="63"/>
      <c r="K408" s="63"/>
      <c r="L408" s="63"/>
      <c r="M408" s="64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6"/>
      <c r="J409" s="63"/>
      <c r="K409" s="63"/>
      <c r="L409" s="63"/>
      <c r="M409" s="64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6"/>
      <c r="J410" s="63"/>
      <c r="K410" s="63"/>
      <c r="L410" s="63"/>
      <c r="M410" s="64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6"/>
      <c r="J411" s="63"/>
      <c r="K411" s="63"/>
      <c r="L411" s="63"/>
      <c r="M411" s="64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6"/>
      <c r="J412" s="63"/>
      <c r="K412" s="63"/>
      <c r="L412" s="63"/>
      <c r="M412" s="64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6"/>
      <c r="J413" s="63"/>
      <c r="K413" s="63"/>
      <c r="L413" s="63"/>
      <c r="M413" s="64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6"/>
      <c r="J414" s="63"/>
      <c r="K414" s="63"/>
      <c r="L414" s="63"/>
      <c r="M414" s="64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6"/>
      <c r="J415" s="63"/>
      <c r="K415" s="63"/>
      <c r="L415" s="63"/>
      <c r="M415" s="64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6"/>
      <c r="J416" s="63"/>
      <c r="K416" s="63"/>
      <c r="L416" s="63"/>
      <c r="M416" s="64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6"/>
      <c r="J417" s="63"/>
      <c r="K417" s="63"/>
      <c r="L417" s="63"/>
      <c r="M417" s="64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6"/>
      <c r="J418" s="63"/>
      <c r="K418" s="63"/>
      <c r="L418" s="63"/>
      <c r="M418" s="64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6"/>
      <c r="J419" s="63"/>
      <c r="K419" s="63"/>
      <c r="L419" s="63"/>
      <c r="M419" s="64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6"/>
      <c r="J420" s="63"/>
      <c r="K420" s="63"/>
      <c r="L420" s="63"/>
      <c r="M420" s="64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6"/>
      <c r="J421" s="63"/>
      <c r="K421" s="63"/>
      <c r="L421" s="63"/>
      <c r="M421" s="64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6"/>
      <c r="J422" s="63"/>
      <c r="K422" s="63"/>
      <c r="L422" s="63"/>
      <c r="M422" s="64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6"/>
      <c r="J423" s="63"/>
      <c r="K423" s="63"/>
      <c r="L423" s="63"/>
      <c r="M423" s="64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6"/>
      <c r="J424" s="63"/>
      <c r="K424" s="63"/>
      <c r="L424" s="63"/>
      <c r="M424" s="64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6"/>
      <c r="J425" s="63"/>
      <c r="K425" s="63"/>
      <c r="L425" s="63"/>
      <c r="M425" s="64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6"/>
      <c r="J426" s="63"/>
      <c r="K426" s="63"/>
      <c r="L426" s="63"/>
      <c r="M426" s="64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6"/>
      <c r="J427" s="63"/>
      <c r="K427" s="63"/>
      <c r="L427" s="63"/>
      <c r="M427" s="64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6"/>
      <c r="J428" s="63"/>
      <c r="K428" s="63"/>
      <c r="L428" s="63"/>
      <c r="M428" s="64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6"/>
      <c r="J429" s="63"/>
      <c r="K429" s="63"/>
      <c r="L429" s="63"/>
      <c r="M429" s="64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6"/>
      <c r="J430" s="63"/>
      <c r="K430" s="63"/>
      <c r="L430" s="63"/>
      <c r="M430" s="64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6"/>
      <c r="J431" s="63"/>
      <c r="K431" s="63"/>
      <c r="L431" s="63"/>
      <c r="M431" s="64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6"/>
      <c r="J432" s="63"/>
      <c r="K432" s="63"/>
      <c r="L432" s="63"/>
      <c r="M432" s="64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6"/>
      <c r="J433" s="63"/>
      <c r="K433" s="63"/>
      <c r="L433" s="63"/>
      <c r="M433" s="64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6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6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6"/>
      <c r="J436" s="63"/>
      <c r="K436" s="63"/>
      <c r="L436" s="63"/>
      <c r="M436" s="64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6"/>
      <c r="J437" s="63"/>
      <c r="K437" s="63"/>
      <c r="L437" s="63"/>
      <c r="M437" s="64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6"/>
      <c r="J438" s="63"/>
      <c r="K438" s="63"/>
      <c r="L438" s="63"/>
      <c r="M438" s="64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6"/>
      <c r="J439" s="63"/>
      <c r="K439" s="63"/>
      <c r="L439" s="63"/>
      <c r="M439" s="64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6"/>
      <c r="J440" s="63"/>
      <c r="K440" s="63"/>
      <c r="L440" s="63"/>
      <c r="M440" s="64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6"/>
      <c r="J441" s="63"/>
      <c r="K441" s="63"/>
      <c r="L441" s="63"/>
      <c r="M441" s="64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6"/>
      <c r="J442" s="63"/>
      <c r="K442" s="63"/>
      <c r="L442" s="63"/>
      <c r="M442" s="64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6"/>
      <c r="J443" s="63"/>
      <c r="K443" s="63"/>
      <c r="L443" s="63"/>
      <c r="M443" s="64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6"/>
      <c r="J444" s="63"/>
      <c r="K444" s="63"/>
      <c r="L444" s="63"/>
      <c r="M444" s="64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6"/>
      <c r="J445" s="63"/>
      <c r="K445" s="63"/>
      <c r="L445" s="63"/>
      <c r="M445" s="64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6"/>
      <c r="J446" s="63"/>
      <c r="K446" s="63"/>
      <c r="L446" s="63"/>
      <c r="M446" s="64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6"/>
      <c r="J447" s="63"/>
      <c r="K447" s="63"/>
      <c r="L447" s="63"/>
      <c r="M447" s="64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6"/>
      <c r="J448" s="63"/>
      <c r="K448" s="63"/>
      <c r="L448" s="63"/>
      <c r="M448" s="64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6"/>
      <c r="J449" s="63"/>
      <c r="K449" s="63"/>
      <c r="L449" s="63"/>
      <c r="M449" s="64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6"/>
      <c r="J450" s="63"/>
      <c r="K450" s="63"/>
      <c r="L450" s="63"/>
      <c r="M450" s="64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6"/>
      <c r="J451" s="63"/>
      <c r="K451" s="63"/>
      <c r="L451" s="63"/>
      <c r="M451" s="64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6"/>
      <c r="J452" s="63"/>
      <c r="K452" s="63"/>
      <c r="L452" s="63"/>
      <c r="M452" s="64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6"/>
      <c r="J453" s="63"/>
      <c r="K453" s="63"/>
      <c r="L453" s="63"/>
      <c r="M453" s="64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6"/>
      <c r="J454" s="63"/>
      <c r="K454" s="63"/>
      <c r="L454" s="63"/>
      <c r="M454" s="64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6"/>
      <c r="J455" s="63"/>
      <c r="K455" s="63"/>
      <c r="L455" s="63"/>
      <c r="M455" s="64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6"/>
      <c r="J456" s="63"/>
      <c r="K456" s="63"/>
      <c r="L456" s="63"/>
      <c r="M456" s="64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6"/>
      <c r="J457" s="63"/>
      <c r="K457" s="63"/>
      <c r="L457" s="63"/>
      <c r="M457" s="64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6"/>
      <c r="J458" s="63"/>
      <c r="K458" s="63"/>
      <c r="L458" s="63"/>
      <c r="M458" s="64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6"/>
      <c r="J459" s="63"/>
      <c r="K459" s="63"/>
      <c r="L459" s="63"/>
      <c r="M459" s="64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6"/>
      <c r="J460" s="63"/>
      <c r="K460" s="63"/>
      <c r="L460" s="63"/>
      <c r="M460" s="64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6"/>
      <c r="J461" s="63"/>
      <c r="K461" s="63"/>
      <c r="L461" s="63"/>
      <c r="M461" s="64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6"/>
      <c r="J462" s="63"/>
      <c r="K462" s="63"/>
      <c r="L462" s="63"/>
      <c r="M462" s="64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6"/>
      <c r="J463" s="63"/>
      <c r="K463" s="63"/>
      <c r="L463" s="63"/>
      <c r="M463" s="64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6"/>
      <c r="J464" s="63"/>
      <c r="K464" s="63"/>
      <c r="L464" s="63"/>
      <c r="M464" s="64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6"/>
      <c r="J465" s="63"/>
      <c r="K465" s="63"/>
      <c r="L465" s="63"/>
      <c r="M465" s="64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6"/>
      <c r="J466" s="63"/>
      <c r="K466" s="63"/>
      <c r="L466" s="63"/>
      <c r="M466" s="64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6"/>
      <c r="J467" s="63"/>
      <c r="K467" s="63"/>
      <c r="L467" s="63"/>
      <c r="M467" s="64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6"/>
      <c r="J468" s="63"/>
      <c r="K468" s="63"/>
      <c r="L468" s="63"/>
      <c r="M468" s="64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6"/>
      <c r="J469" s="63"/>
      <c r="K469" s="63"/>
      <c r="L469" s="63"/>
      <c r="M469" s="64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6"/>
      <c r="J470" s="63"/>
      <c r="K470" s="63"/>
      <c r="L470" s="63"/>
      <c r="M470" s="64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6"/>
      <c r="J471" s="63"/>
      <c r="K471" s="63"/>
      <c r="L471" s="63"/>
      <c r="M471" s="64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6"/>
      <c r="J472" s="63"/>
      <c r="K472" s="63"/>
      <c r="L472" s="63"/>
      <c r="M472" s="64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6"/>
      <c r="J473" s="63"/>
      <c r="K473" s="63"/>
      <c r="L473" s="63"/>
      <c r="M473" s="64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6"/>
      <c r="J474" s="63"/>
      <c r="K474" s="63"/>
      <c r="L474" s="63"/>
      <c r="M474" s="64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6"/>
      <c r="J475" s="63"/>
      <c r="K475" s="63"/>
      <c r="L475" s="63"/>
      <c r="M475" s="64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6"/>
      <c r="J476" s="63"/>
      <c r="K476" s="63"/>
      <c r="L476" s="63"/>
      <c r="M476" s="64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6"/>
      <c r="J477" s="63"/>
      <c r="K477" s="63"/>
      <c r="L477" s="63"/>
      <c r="M477" s="64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6"/>
      <c r="J478" s="63"/>
      <c r="K478" s="63"/>
      <c r="L478" s="63"/>
      <c r="M478" s="64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6"/>
      <c r="J479" s="63"/>
      <c r="K479" s="63"/>
      <c r="L479" s="63"/>
      <c r="M479" s="64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6"/>
      <c r="J480" s="63"/>
      <c r="K480" s="63"/>
      <c r="L480" s="63"/>
      <c r="M480" s="64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6"/>
      <c r="J481" s="63"/>
      <c r="K481" s="63"/>
      <c r="L481" s="63"/>
      <c r="M481" s="64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6"/>
      <c r="J482" s="63"/>
      <c r="K482" s="63"/>
      <c r="L482" s="63"/>
      <c r="M482" s="64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6"/>
      <c r="J483" s="63"/>
      <c r="K483" s="63"/>
      <c r="L483" s="63"/>
      <c r="M483" s="64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6"/>
      <c r="J484" s="63"/>
      <c r="K484" s="63"/>
      <c r="L484" s="63"/>
      <c r="M484" s="64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6"/>
      <c r="J485" s="63"/>
      <c r="K485" s="63"/>
      <c r="L485" s="63"/>
      <c r="M485" s="64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6"/>
      <c r="J486" s="63"/>
      <c r="K486" s="63"/>
      <c r="L486" s="63"/>
      <c r="M486" s="64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6"/>
      <c r="J487" s="63"/>
      <c r="K487" s="63"/>
      <c r="L487" s="63"/>
      <c r="M487" s="64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6"/>
      <c r="J488" s="63"/>
      <c r="K488" s="63"/>
      <c r="L488" s="63"/>
      <c r="M488" s="64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6"/>
      <c r="J489" s="63"/>
      <c r="K489" s="63"/>
      <c r="L489" s="63"/>
      <c r="M489" s="64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6"/>
      <c r="J490" s="63"/>
      <c r="K490" s="63"/>
      <c r="L490" s="63"/>
      <c r="M490" s="64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6"/>
      <c r="J491" s="63"/>
      <c r="K491" s="63"/>
      <c r="L491" s="63"/>
      <c r="M491" s="64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6"/>
      <c r="J492" s="63"/>
      <c r="K492" s="63"/>
      <c r="L492" s="63"/>
      <c r="M492" s="64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6"/>
      <c r="J493" s="63"/>
      <c r="K493" s="63"/>
      <c r="L493" s="63"/>
      <c r="M493" s="64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6"/>
      <c r="J494" s="63"/>
      <c r="K494" s="63"/>
      <c r="L494" s="63"/>
      <c r="M494" s="64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6"/>
      <c r="J495" s="63"/>
      <c r="K495" s="63"/>
      <c r="L495" s="63"/>
      <c r="M495" s="64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6"/>
      <c r="J496" s="63"/>
      <c r="K496" s="63"/>
      <c r="L496" s="63"/>
      <c r="M496" s="64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6"/>
      <c r="J497" s="63"/>
      <c r="K497" s="63"/>
      <c r="L497" s="63"/>
      <c r="M497" s="64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6"/>
      <c r="J498" s="63"/>
      <c r="K498" s="63"/>
      <c r="L498" s="63"/>
      <c r="M498" s="64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6"/>
      <c r="J499" s="63"/>
      <c r="K499" s="63"/>
      <c r="L499" s="63"/>
      <c r="M499" s="64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6"/>
      <c r="J500" s="63"/>
      <c r="K500" s="63"/>
      <c r="L500" s="63"/>
      <c r="M500" s="64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6"/>
      <c r="J501" s="63"/>
      <c r="K501" s="63"/>
      <c r="L501" s="63"/>
      <c r="M501" s="64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6"/>
      <c r="J502" s="63"/>
      <c r="K502" s="63"/>
      <c r="L502" s="63"/>
      <c r="M502" s="64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6"/>
      <c r="J503" s="63"/>
      <c r="K503" s="63"/>
      <c r="L503" s="63"/>
      <c r="M503" s="64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6"/>
      <c r="J504" s="63"/>
      <c r="K504" s="63"/>
      <c r="L504" s="63"/>
      <c r="M504" s="64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6"/>
      <c r="J505" s="63"/>
      <c r="K505" s="63"/>
      <c r="L505" s="63"/>
      <c r="M505" s="64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6"/>
      <c r="J506" s="63"/>
      <c r="K506" s="63"/>
      <c r="L506" s="63"/>
      <c r="M506" s="64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6"/>
      <c r="J507" s="63"/>
      <c r="K507" s="63"/>
      <c r="L507" s="63"/>
      <c r="M507" s="64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6"/>
      <c r="J508" s="63"/>
      <c r="K508" s="63"/>
      <c r="L508" s="63"/>
      <c r="M508" s="64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6"/>
      <c r="J509" s="63"/>
      <c r="K509" s="63"/>
      <c r="L509" s="63"/>
      <c r="M509" s="64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6"/>
      <c r="J510" s="63"/>
      <c r="K510" s="63"/>
      <c r="L510" s="63"/>
      <c r="M510" s="64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6"/>
      <c r="J511" s="63"/>
      <c r="K511" s="63"/>
      <c r="L511" s="63"/>
      <c r="M511" s="64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6"/>
      <c r="J512" s="63"/>
      <c r="K512" s="63"/>
      <c r="L512" s="63"/>
      <c r="M512" s="64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6"/>
      <c r="J513" s="63"/>
      <c r="K513" s="63"/>
      <c r="L513" s="63"/>
      <c r="M513" s="64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6"/>
      <c r="J514" s="63"/>
      <c r="K514" s="63"/>
      <c r="L514" s="63"/>
      <c r="M514" s="64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6"/>
      <c r="J515" s="63"/>
      <c r="K515" s="63"/>
      <c r="L515" s="63"/>
      <c r="M515" s="64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6"/>
      <c r="J516" s="63"/>
      <c r="K516" s="63"/>
      <c r="L516" s="63"/>
      <c r="M516" s="64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6"/>
      <c r="J517" s="63"/>
      <c r="K517" s="63"/>
      <c r="L517" s="63"/>
      <c r="M517" s="64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6"/>
      <c r="J518" s="63"/>
      <c r="K518" s="63"/>
      <c r="L518" s="63"/>
      <c r="M518" s="64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6"/>
      <c r="J519" s="63"/>
      <c r="K519" s="63"/>
      <c r="L519" s="63"/>
      <c r="M519" s="64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6"/>
      <c r="J520" s="63"/>
      <c r="K520" s="63"/>
      <c r="L520" s="63"/>
      <c r="M520" s="64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6"/>
      <c r="J521" s="63"/>
      <c r="K521" s="63"/>
      <c r="L521" s="63"/>
      <c r="M521" s="64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6"/>
      <c r="J522" s="63"/>
      <c r="K522" s="63"/>
      <c r="L522" s="63"/>
      <c r="M522" s="64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6"/>
      <c r="J523" s="63"/>
      <c r="K523" s="63"/>
      <c r="L523" s="63"/>
      <c r="M523" s="64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6"/>
      <c r="J524" s="63"/>
      <c r="K524" s="63"/>
      <c r="L524" s="63"/>
      <c r="M524" s="64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6"/>
      <c r="J525" s="63"/>
      <c r="K525" s="63"/>
      <c r="L525" s="63"/>
      <c r="M525" s="64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6"/>
      <c r="J526" s="63"/>
      <c r="K526" s="63"/>
      <c r="L526" s="63"/>
      <c r="M526" s="64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6"/>
      <c r="J527" s="63"/>
      <c r="K527" s="63"/>
      <c r="L527" s="63"/>
      <c r="M527" s="64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6"/>
      <c r="J528" s="63"/>
      <c r="K528" s="63"/>
      <c r="L528" s="63"/>
      <c r="M528" s="64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6"/>
      <c r="J529" s="63"/>
      <c r="K529" s="63"/>
      <c r="L529" s="63"/>
      <c r="M529" s="64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6"/>
      <c r="J530" s="63"/>
      <c r="K530" s="63"/>
      <c r="L530" s="63"/>
      <c r="M530" s="64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6"/>
      <c r="J531" s="63"/>
      <c r="K531" s="63"/>
      <c r="L531" s="63"/>
      <c r="M531" s="64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6"/>
      <c r="J532" s="63"/>
      <c r="K532" s="63"/>
      <c r="L532" s="63"/>
      <c r="M532" s="64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6"/>
      <c r="J533" s="63"/>
      <c r="K533" s="63"/>
      <c r="L533" s="63"/>
      <c r="M533" s="64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6"/>
      <c r="J534" s="63"/>
      <c r="K534" s="63"/>
      <c r="L534" s="63"/>
      <c r="M534" s="64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6"/>
      <c r="J535" s="63"/>
      <c r="K535" s="63"/>
      <c r="L535" s="63"/>
      <c r="M535" s="64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6"/>
      <c r="J536" s="63"/>
      <c r="K536" s="63"/>
      <c r="L536" s="63"/>
      <c r="M536" s="64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6"/>
      <c r="J537" s="63"/>
      <c r="K537" s="63"/>
      <c r="L537" s="63"/>
      <c r="M537" s="64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6"/>
      <c r="J538" s="63"/>
      <c r="K538" s="63"/>
      <c r="L538" s="63"/>
      <c r="M538" s="64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6"/>
      <c r="J539" s="63"/>
      <c r="K539" s="63"/>
      <c r="L539" s="63"/>
      <c r="M539" s="64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6"/>
      <c r="J540" s="63"/>
      <c r="K540" s="63"/>
      <c r="L540" s="63"/>
      <c r="M540" s="64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6"/>
      <c r="J541" s="63"/>
      <c r="K541" s="63"/>
      <c r="L541" s="63"/>
      <c r="M541" s="64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6"/>
      <c r="J542" s="63"/>
      <c r="K542" s="63"/>
      <c r="L542" s="63"/>
      <c r="M542" s="64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6"/>
      <c r="J543" s="63"/>
      <c r="K543" s="63"/>
      <c r="L543" s="63"/>
      <c r="M543" s="64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6"/>
      <c r="J544" s="63"/>
      <c r="K544" s="63"/>
      <c r="L544" s="63"/>
      <c r="M544" s="64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6"/>
      <c r="J545" s="63"/>
      <c r="K545" s="63"/>
      <c r="L545" s="63"/>
      <c r="M545" s="64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6"/>
      <c r="J546" s="63"/>
      <c r="K546" s="63"/>
      <c r="L546" s="63"/>
      <c r="M546" s="64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6"/>
      <c r="J547" s="63"/>
      <c r="K547" s="63"/>
      <c r="L547" s="63"/>
      <c r="M547" s="64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6"/>
      <c r="J548" s="63"/>
      <c r="K548" s="63"/>
      <c r="L548" s="63"/>
      <c r="M548" s="64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6"/>
      <c r="J549" s="63"/>
      <c r="K549" s="63"/>
      <c r="L549" s="63"/>
      <c r="M549" s="64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6"/>
      <c r="J550" s="63"/>
      <c r="K550" s="63"/>
      <c r="L550" s="63"/>
      <c r="M550" s="64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6"/>
      <c r="J551" s="63"/>
      <c r="K551" s="63"/>
      <c r="L551" s="63"/>
      <c r="M551" s="64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6"/>
      <c r="J552" s="63"/>
      <c r="K552" s="63"/>
      <c r="L552" s="63"/>
      <c r="M552" s="64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6"/>
      <c r="J553" s="63"/>
      <c r="K553" s="63"/>
      <c r="L553" s="63"/>
      <c r="M553" s="64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6"/>
      <c r="J554" s="63"/>
      <c r="K554" s="63"/>
      <c r="L554" s="63"/>
      <c r="M554" s="64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6"/>
      <c r="J555" s="63"/>
      <c r="K555" s="63"/>
      <c r="L555" s="63"/>
      <c r="M555" s="64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6"/>
      <c r="J556" s="63"/>
      <c r="K556" s="63"/>
      <c r="L556" s="63"/>
      <c r="M556" s="64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6"/>
      <c r="J557" s="63"/>
      <c r="K557" s="63"/>
      <c r="L557" s="63"/>
      <c r="M557" s="64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6"/>
      <c r="J558" s="63"/>
      <c r="K558" s="63"/>
      <c r="L558" s="63"/>
      <c r="M558" s="64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6"/>
      <c r="J559" s="63"/>
      <c r="K559" s="63"/>
      <c r="L559" s="63"/>
      <c r="M559" s="64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6"/>
      <c r="J560" s="63"/>
      <c r="K560" s="63"/>
      <c r="L560" s="63"/>
      <c r="M560" s="64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6"/>
      <c r="J561" s="63"/>
      <c r="K561" s="63"/>
      <c r="L561" s="63"/>
      <c r="M561" s="64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6"/>
      <c r="J562" s="63"/>
      <c r="K562" s="63"/>
      <c r="L562" s="63"/>
      <c r="M562" s="64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6"/>
      <c r="J563" s="63"/>
      <c r="K563" s="63"/>
      <c r="L563" s="63"/>
      <c r="M563" s="64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6"/>
      <c r="J564" s="63"/>
      <c r="K564" s="63"/>
      <c r="L564" s="63"/>
      <c r="M564" s="64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6"/>
      <c r="J565" s="63"/>
      <c r="K565" s="63"/>
      <c r="L565" s="63"/>
      <c r="M565" s="64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6"/>
      <c r="J566" s="63"/>
      <c r="K566" s="63"/>
      <c r="L566" s="63"/>
      <c r="M566" s="64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6"/>
      <c r="J567" s="63"/>
      <c r="K567" s="63"/>
      <c r="L567" s="63"/>
      <c r="M567" s="64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6"/>
      <c r="J568" s="63"/>
      <c r="K568" s="63"/>
      <c r="L568" s="63"/>
      <c r="M568" s="64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6"/>
      <c r="J569" s="63"/>
      <c r="K569" s="63"/>
      <c r="L569" s="63"/>
      <c r="M569" s="64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6"/>
      <c r="J570" s="63"/>
      <c r="K570" s="63"/>
      <c r="L570" s="63"/>
      <c r="M570" s="64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6"/>
      <c r="J571" s="63"/>
      <c r="K571" s="63"/>
      <c r="L571" s="63"/>
      <c r="M571" s="64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6"/>
      <c r="J572" s="63"/>
      <c r="K572" s="63"/>
      <c r="L572" s="63"/>
      <c r="M572" s="64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6"/>
      <c r="J573" s="63"/>
      <c r="K573" s="63"/>
      <c r="L573" s="63"/>
      <c r="M573" s="64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6"/>
      <c r="J574" s="63"/>
      <c r="K574" s="63"/>
      <c r="L574" s="63"/>
      <c r="M574" s="64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6"/>
      <c r="J575" s="63"/>
      <c r="K575" s="63"/>
      <c r="L575" s="63"/>
      <c r="M575" s="64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6"/>
      <c r="J576" s="63"/>
      <c r="K576" s="63"/>
      <c r="L576" s="63"/>
      <c r="M576" s="64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6"/>
      <c r="J577" s="63"/>
      <c r="K577" s="63"/>
      <c r="L577" s="63"/>
      <c r="M577" s="64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6"/>
      <c r="J578" s="63"/>
      <c r="K578" s="63"/>
      <c r="L578" s="63"/>
      <c r="M578" s="64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6"/>
      <c r="J579" s="63"/>
      <c r="K579" s="63"/>
      <c r="L579" s="63"/>
      <c r="M579" s="64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6"/>
      <c r="J580" s="63"/>
      <c r="K580" s="63"/>
      <c r="L580" s="63"/>
      <c r="M580" s="64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6"/>
      <c r="J581" s="63"/>
      <c r="K581" s="63"/>
      <c r="L581" s="63"/>
      <c r="M581" s="64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6"/>
      <c r="J582" s="63"/>
      <c r="K582" s="63"/>
      <c r="L582" s="63"/>
      <c r="M582" s="64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6"/>
      <c r="J583" s="63"/>
      <c r="K583" s="63"/>
      <c r="L583" s="63"/>
      <c r="M583" s="64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6"/>
      <c r="J584" s="63"/>
      <c r="K584" s="63"/>
      <c r="L584" s="63"/>
      <c r="M584" s="64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6"/>
      <c r="J585" s="63"/>
      <c r="K585" s="63"/>
      <c r="L585" s="63"/>
      <c r="M585" s="64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6"/>
      <c r="J586" s="63"/>
      <c r="K586" s="63"/>
      <c r="L586" s="63"/>
      <c r="M586" s="64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6"/>
      <c r="J587" s="63"/>
      <c r="K587" s="63"/>
      <c r="L587" s="63"/>
      <c r="M587" s="64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6"/>
      <c r="J588" s="63"/>
      <c r="K588" s="63"/>
      <c r="L588" s="63"/>
      <c r="M588" s="64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6"/>
      <c r="J589" s="63"/>
      <c r="K589" s="63"/>
      <c r="L589" s="63"/>
      <c r="M589" s="64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6"/>
      <c r="J590" s="63"/>
      <c r="K590" s="63"/>
      <c r="L590" s="63"/>
      <c r="M590" s="64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6"/>
      <c r="J591" s="63"/>
      <c r="K591" s="63"/>
      <c r="L591" s="63"/>
      <c r="M591" s="64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6"/>
      <c r="J592" s="63"/>
      <c r="K592" s="63"/>
      <c r="L592" s="63"/>
      <c r="M592" s="64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6"/>
      <c r="J593" s="63"/>
      <c r="K593" s="63"/>
      <c r="L593" s="63"/>
      <c r="M593" s="64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6"/>
      <c r="J594" s="63"/>
      <c r="K594" s="63"/>
      <c r="L594" s="63"/>
      <c r="M594" s="64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6"/>
      <c r="J595" s="63"/>
      <c r="K595" s="63"/>
      <c r="L595" s="63"/>
      <c r="M595" s="64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6"/>
      <c r="J596" s="63"/>
      <c r="K596" s="63"/>
      <c r="L596" s="63"/>
      <c r="M596" s="64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6"/>
      <c r="J597" s="63"/>
      <c r="K597" s="63"/>
      <c r="L597" s="63"/>
      <c r="M597" s="64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6"/>
      <c r="J598" s="63"/>
      <c r="K598" s="63"/>
      <c r="L598" s="63"/>
      <c r="M598" s="64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6"/>
      <c r="J599" s="63"/>
      <c r="K599" s="63"/>
      <c r="L599" s="63"/>
      <c r="M599" s="64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6"/>
      <c r="J600" s="63"/>
      <c r="K600" s="63"/>
      <c r="L600" s="63"/>
      <c r="M600" s="64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6"/>
      <c r="J601" s="63"/>
      <c r="K601" s="63"/>
      <c r="L601" s="63"/>
      <c r="M601" s="64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6"/>
      <c r="J602" s="63"/>
      <c r="K602" s="63"/>
      <c r="L602" s="63"/>
      <c r="M602" s="64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6"/>
      <c r="J603" s="63"/>
      <c r="K603" s="63"/>
      <c r="L603" s="63"/>
      <c r="M603" s="64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6"/>
      <c r="J604" s="63"/>
      <c r="K604" s="63"/>
      <c r="L604" s="63"/>
      <c r="M604" s="64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6"/>
      <c r="J605" s="63"/>
      <c r="K605" s="63"/>
      <c r="L605" s="63"/>
      <c r="M605" s="64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6"/>
      <c r="J606" s="63"/>
      <c r="K606" s="63"/>
      <c r="L606" s="63"/>
      <c r="M606" s="64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6"/>
      <c r="J607" s="63"/>
      <c r="K607" s="63"/>
      <c r="L607" s="63"/>
      <c r="M607" s="64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6"/>
      <c r="J608" s="63"/>
      <c r="K608" s="63"/>
      <c r="L608" s="63"/>
      <c r="M608" s="64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6"/>
      <c r="J609" s="63"/>
      <c r="K609" s="63"/>
      <c r="L609" s="63"/>
      <c r="M609" s="64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6"/>
      <c r="J610" s="63"/>
      <c r="K610" s="63"/>
      <c r="L610" s="63"/>
      <c r="M610" s="64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6"/>
      <c r="J611" s="63"/>
      <c r="K611" s="63"/>
      <c r="L611" s="63"/>
      <c r="M611" s="64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6"/>
      <c r="J612" s="63"/>
      <c r="K612" s="63"/>
      <c r="L612" s="63"/>
      <c r="M612" s="64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6"/>
      <c r="J613" s="63"/>
      <c r="K613" s="63"/>
      <c r="L613" s="63"/>
      <c r="M613" s="64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6"/>
      <c r="J614" s="63"/>
      <c r="K614" s="63"/>
      <c r="L614" s="63"/>
      <c r="M614" s="64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6"/>
      <c r="J615" s="63"/>
      <c r="K615" s="63"/>
      <c r="L615" s="63"/>
      <c r="M615" s="64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6"/>
      <c r="J616" s="63"/>
      <c r="K616" s="63"/>
      <c r="L616" s="63"/>
      <c r="M616" s="64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6"/>
      <c r="J617" s="63"/>
      <c r="K617" s="63"/>
      <c r="L617" s="63"/>
      <c r="M617" s="64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6"/>
      <c r="J618" s="63"/>
      <c r="K618" s="63"/>
      <c r="L618" s="63"/>
      <c r="M618" s="64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6"/>
      <c r="J619" s="63"/>
      <c r="K619" s="63"/>
      <c r="L619" s="63"/>
      <c r="M619" s="64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6"/>
      <c r="J620" s="63"/>
      <c r="K620" s="63"/>
      <c r="L620" s="63"/>
      <c r="M620" s="64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6"/>
      <c r="J621" s="63"/>
      <c r="K621" s="63"/>
      <c r="L621" s="63"/>
      <c r="M621" s="64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6"/>
      <c r="J622" s="63"/>
      <c r="K622" s="63"/>
      <c r="L622" s="63"/>
      <c r="M622" s="64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6"/>
      <c r="J623" s="63"/>
      <c r="K623" s="63"/>
      <c r="L623" s="63"/>
      <c r="M623" s="64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6"/>
      <c r="J624" s="63"/>
      <c r="K624" s="63"/>
      <c r="L624" s="63"/>
      <c r="M624" s="64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6"/>
      <c r="J625" s="63"/>
      <c r="K625" s="63"/>
      <c r="L625" s="63"/>
      <c r="M625" s="64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6"/>
      <c r="J626" s="63"/>
      <c r="K626" s="63"/>
      <c r="L626" s="63"/>
      <c r="M626" s="64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6"/>
      <c r="J627" s="63"/>
      <c r="K627" s="63"/>
      <c r="L627" s="63"/>
      <c r="M627" s="64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6"/>
      <c r="J628" s="63"/>
      <c r="K628" s="63"/>
      <c r="L628" s="63"/>
      <c r="M628" s="64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6"/>
      <c r="J629" s="63"/>
      <c r="K629" s="63"/>
      <c r="L629" s="63"/>
      <c r="M629" s="64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6"/>
      <c r="J630" s="63"/>
      <c r="K630" s="63"/>
      <c r="L630" s="63"/>
      <c r="M630" s="64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6"/>
      <c r="J631" s="63"/>
      <c r="K631" s="63"/>
      <c r="L631" s="63"/>
      <c r="M631" s="64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6"/>
      <c r="J632" s="63"/>
      <c r="K632" s="63"/>
      <c r="L632" s="63"/>
      <c r="M632" s="64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6"/>
      <c r="J633" s="63"/>
      <c r="K633" s="63"/>
      <c r="L633" s="63"/>
      <c r="M633" s="64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6"/>
      <c r="J634" s="63"/>
      <c r="K634" s="63"/>
      <c r="L634" s="63"/>
      <c r="M634" s="64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6"/>
      <c r="J635" s="63"/>
      <c r="K635" s="63"/>
      <c r="L635" s="63"/>
      <c r="M635" s="64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6"/>
      <c r="J636" s="63"/>
      <c r="K636" s="63"/>
      <c r="L636" s="63"/>
      <c r="M636" s="64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6"/>
      <c r="J637" s="63"/>
      <c r="K637" s="63"/>
      <c r="L637" s="63"/>
      <c r="M637" s="64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6"/>
      <c r="J638" s="63"/>
      <c r="K638" s="63"/>
      <c r="L638" s="63"/>
      <c r="M638" s="64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6"/>
      <c r="J639" s="63"/>
      <c r="K639" s="63"/>
      <c r="L639" s="63"/>
      <c r="M639" s="64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6"/>
      <c r="J640" s="63"/>
      <c r="K640" s="63"/>
      <c r="L640" s="63"/>
      <c r="M640" s="64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6"/>
      <c r="J641" s="63"/>
      <c r="K641" s="63"/>
      <c r="L641" s="63"/>
      <c r="M641" s="64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6"/>
      <c r="J642" s="63"/>
      <c r="K642" s="63"/>
      <c r="L642" s="63"/>
      <c r="M642" s="64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6"/>
      <c r="J643" s="63"/>
      <c r="K643" s="63"/>
      <c r="L643" s="63"/>
      <c r="M643" s="64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6"/>
      <c r="J644" s="63"/>
      <c r="K644" s="63"/>
      <c r="L644" s="63"/>
      <c r="M644" s="64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6"/>
      <c r="J645" s="63"/>
      <c r="K645" s="63"/>
      <c r="L645" s="63"/>
      <c r="M645" s="64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6"/>
      <c r="J646" s="63"/>
      <c r="K646" s="63"/>
      <c r="L646" s="63"/>
      <c r="M646" s="64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6"/>
      <c r="J647" s="63"/>
      <c r="K647" s="63"/>
      <c r="L647" s="63"/>
      <c r="M647" s="64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6"/>
      <c r="J648" s="63"/>
      <c r="K648" s="63"/>
      <c r="L648" s="63"/>
      <c r="M648" s="64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6"/>
      <c r="J649" s="63"/>
      <c r="K649" s="63"/>
      <c r="L649" s="63"/>
      <c r="M649" s="64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6"/>
      <c r="J650" s="63"/>
      <c r="K650" s="63"/>
      <c r="L650" s="63"/>
      <c r="M650" s="64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6"/>
      <c r="J651" s="63"/>
      <c r="K651" s="63"/>
      <c r="L651" s="63"/>
      <c r="M651" s="64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6"/>
      <c r="J652" s="63"/>
      <c r="K652" s="63"/>
      <c r="L652" s="63"/>
      <c r="M652" s="64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6"/>
      <c r="J653" s="63"/>
      <c r="K653" s="63"/>
      <c r="L653" s="63"/>
      <c r="M653" s="64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6"/>
      <c r="J654" s="63"/>
      <c r="K654" s="63"/>
      <c r="L654" s="63"/>
      <c r="M654" s="64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6"/>
      <c r="J655" s="63"/>
      <c r="K655" s="63"/>
      <c r="L655" s="63"/>
      <c r="M655" s="64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6"/>
      <c r="J656" s="63"/>
      <c r="K656" s="63"/>
      <c r="L656" s="63"/>
      <c r="M656" s="64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6"/>
      <c r="J657" s="63"/>
      <c r="K657" s="63"/>
      <c r="L657" s="63"/>
      <c r="M657" s="64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6"/>
      <c r="J658" s="63"/>
      <c r="K658" s="63"/>
      <c r="L658" s="63"/>
      <c r="M658" s="64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6"/>
      <c r="J659" s="63"/>
      <c r="K659" s="63"/>
      <c r="L659" s="63"/>
      <c r="M659" s="64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6"/>
      <c r="J660" s="63"/>
      <c r="K660" s="63"/>
      <c r="L660" s="63"/>
      <c r="M660" s="64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6"/>
      <c r="J661" s="63"/>
      <c r="K661" s="63"/>
      <c r="L661" s="63"/>
      <c r="M661" s="64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6"/>
      <c r="J662" s="63"/>
      <c r="K662" s="63"/>
      <c r="L662" s="63"/>
      <c r="M662" s="64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6"/>
      <c r="J663" s="63"/>
      <c r="K663" s="63"/>
      <c r="L663" s="63"/>
      <c r="M663" s="64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6"/>
      <c r="J664" s="63"/>
      <c r="K664" s="63"/>
      <c r="L664" s="63"/>
      <c r="M664" s="64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6"/>
      <c r="J665" s="63"/>
      <c r="K665" s="63"/>
      <c r="L665" s="63"/>
      <c r="M665" s="64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6"/>
      <c r="J666" s="63"/>
      <c r="K666" s="63"/>
      <c r="L666" s="63"/>
      <c r="M666" s="64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6"/>
      <c r="J667" s="63"/>
      <c r="K667" s="63"/>
      <c r="L667" s="63"/>
      <c r="M667" s="64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6"/>
      <c r="J668" s="63"/>
      <c r="K668" s="63"/>
      <c r="L668" s="63"/>
      <c r="M668" s="64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6"/>
      <c r="J669" s="63"/>
      <c r="K669" s="63"/>
      <c r="L669" s="63"/>
      <c r="M669" s="64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6"/>
      <c r="J670" s="63"/>
      <c r="K670" s="63"/>
      <c r="L670" s="63"/>
      <c r="M670" s="64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6"/>
      <c r="J671" s="63"/>
      <c r="K671" s="63"/>
      <c r="L671" s="63"/>
      <c r="M671" s="64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6"/>
      <c r="J672" s="63"/>
      <c r="K672" s="63"/>
      <c r="L672" s="63"/>
      <c r="M672" s="64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6"/>
      <c r="J673" s="63"/>
      <c r="K673" s="63"/>
      <c r="L673" s="63"/>
      <c r="M673" s="64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6"/>
      <c r="J674" s="63"/>
      <c r="K674" s="63"/>
      <c r="L674" s="63"/>
      <c r="M674" s="64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6"/>
      <c r="J675" s="63"/>
      <c r="K675" s="63"/>
      <c r="L675" s="63"/>
      <c r="M675" s="64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6"/>
      <c r="J676" s="63"/>
      <c r="K676" s="63"/>
      <c r="L676" s="63"/>
      <c r="M676" s="64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6"/>
      <c r="J677" s="63"/>
      <c r="K677" s="63"/>
      <c r="L677" s="63"/>
      <c r="M677" s="64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6"/>
      <c r="J678" s="63"/>
      <c r="K678" s="63"/>
      <c r="L678" s="63"/>
      <c r="M678" s="64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6"/>
      <c r="J679" s="63"/>
      <c r="K679" s="63"/>
      <c r="L679" s="63"/>
      <c r="M679" s="64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6"/>
      <c r="J680" s="63"/>
      <c r="K680" s="63"/>
      <c r="L680" s="63"/>
      <c r="M680" s="64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6"/>
      <c r="J681" s="63"/>
      <c r="K681" s="63"/>
      <c r="L681" s="63"/>
      <c r="M681" s="64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6"/>
      <c r="J682" s="63"/>
      <c r="K682" s="63"/>
      <c r="L682" s="63"/>
      <c r="M682" s="64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6"/>
      <c r="J683" s="63"/>
      <c r="K683" s="63"/>
      <c r="L683" s="63"/>
      <c r="M683" s="64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6"/>
      <c r="J684" s="63"/>
      <c r="K684" s="63"/>
      <c r="L684" s="63"/>
      <c r="M684" s="64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6"/>
      <c r="J685" s="63"/>
      <c r="K685" s="63"/>
      <c r="L685" s="63"/>
      <c r="M685" s="64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6"/>
      <c r="J686" s="63"/>
      <c r="K686" s="63"/>
      <c r="L686" s="63"/>
      <c r="M686" s="64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6"/>
      <c r="J687" s="63"/>
      <c r="K687" s="63"/>
      <c r="L687" s="63"/>
      <c r="M687" s="64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6"/>
      <c r="J688" s="63"/>
      <c r="K688" s="63"/>
      <c r="L688" s="63"/>
      <c r="M688" s="64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6"/>
      <c r="J689" s="63"/>
      <c r="K689" s="63"/>
      <c r="L689" s="63"/>
      <c r="M689" s="64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6"/>
      <c r="J690" s="63"/>
      <c r="K690" s="63"/>
      <c r="L690" s="63"/>
      <c r="M690" s="64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6"/>
      <c r="J691" s="63"/>
      <c r="K691" s="63"/>
      <c r="L691" s="63"/>
      <c r="M691" s="64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6"/>
      <c r="J692" s="63"/>
      <c r="K692" s="63"/>
      <c r="L692" s="63"/>
      <c r="M692" s="64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6"/>
      <c r="J693" s="63"/>
      <c r="K693" s="63"/>
      <c r="L693" s="63"/>
      <c r="M693" s="64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6"/>
      <c r="J694" s="63"/>
      <c r="K694" s="63"/>
      <c r="L694" s="63"/>
      <c r="M694" s="64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6"/>
      <c r="J695" s="63"/>
      <c r="K695" s="63"/>
      <c r="L695" s="63"/>
      <c r="M695" s="64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6"/>
      <c r="J696" s="63"/>
      <c r="K696" s="63"/>
      <c r="L696" s="63"/>
      <c r="M696" s="64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6"/>
      <c r="J697" s="63"/>
      <c r="K697" s="63"/>
      <c r="L697" s="63"/>
      <c r="M697" s="64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6"/>
      <c r="J698" s="63"/>
      <c r="K698" s="63"/>
      <c r="L698" s="63"/>
      <c r="M698" s="64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6"/>
      <c r="J699" s="63"/>
      <c r="K699" s="63"/>
      <c r="L699" s="63"/>
      <c r="M699" s="64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6"/>
      <c r="J700" s="63"/>
      <c r="K700" s="63"/>
      <c r="L700" s="63"/>
      <c r="M700" s="64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6"/>
      <c r="J701" s="63"/>
      <c r="K701" s="63"/>
      <c r="L701" s="63"/>
      <c r="M701" s="64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6"/>
      <c r="J702" s="63"/>
      <c r="K702" s="63"/>
      <c r="L702" s="63"/>
      <c r="M702" s="64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6"/>
      <c r="J703" s="63"/>
      <c r="K703" s="63"/>
      <c r="L703" s="63"/>
      <c r="M703" s="64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6"/>
      <c r="J704" s="63"/>
      <c r="K704" s="63"/>
      <c r="L704" s="63"/>
      <c r="M704" s="64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6"/>
      <c r="J705" s="63"/>
      <c r="K705" s="63"/>
      <c r="L705" s="63"/>
      <c r="M705" s="64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6"/>
      <c r="J706" s="63"/>
      <c r="K706" s="63"/>
      <c r="L706" s="63"/>
      <c r="M706" s="64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6"/>
      <c r="J707" s="63"/>
      <c r="K707" s="63"/>
      <c r="L707" s="63"/>
      <c r="M707" s="64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6"/>
      <c r="J708" s="63"/>
      <c r="K708" s="63"/>
      <c r="L708" s="63"/>
      <c r="M708" s="64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6"/>
      <c r="J709" s="63"/>
      <c r="K709" s="63"/>
      <c r="L709" s="63"/>
      <c r="M709" s="64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6"/>
      <c r="J710" s="63"/>
      <c r="K710" s="63"/>
      <c r="L710" s="63"/>
      <c r="M710" s="64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6"/>
      <c r="J711" s="63"/>
      <c r="K711" s="63"/>
      <c r="L711" s="63"/>
      <c r="M711" s="64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6"/>
      <c r="J712" s="63"/>
      <c r="K712" s="63"/>
      <c r="L712" s="63"/>
      <c r="M712" s="64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6"/>
      <c r="J713" s="63"/>
      <c r="K713" s="63"/>
      <c r="L713" s="63"/>
      <c r="M713" s="64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6"/>
      <c r="J714" s="63"/>
      <c r="K714" s="63"/>
      <c r="L714" s="63"/>
      <c r="M714" s="64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6"/>
      <c r="J715" s="63"/>
      <c r="K715" s="63"/>
      <c r="L715" s="63"/>
      <c r="M715" s="64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6"/>
      <c r="J716" s="63"/>
      <c r="K716" s="63"/>
      <c r="L716" s="63"/>
      <c r="M716" s="64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6"/>
      <c r="J717" s="63"/>
      <c r="K717" s="63"/>
      <c r="L717" s="63"/>
      <c r="M717" s="64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6"/>
      <c r="J718" s="63"/>
      <c r="K718" s="63"/>
      <c r="L718" s="63"/>
      <c r="M718" s="64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6"/>
      <c r="J719" s="63"/>
      <c r="K719" s="63"/>
      <c r="L719" s="63"/>
      <c r="M719" s="64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6"/>
      <c r="J720" s="63"/>
      <c r="K720" s="63"/>
      <c r="L720" s="63"/>
      <c r="M720" s="64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6"/>
      <c r="J721" s="63"/>
      <c r="K721" s="63"/>
      <c r="L721" s="63"/>
      <c r="M721" s="64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6"/>
      <c r="J722" s="63"/>
      <c r="K722" s="63"/>
      <c r="L722" s="63"/>
      <c r="M722" s="64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6"/>
      <c r="J723" s="63"/>
      <c r="K723" s="63"/>
      <c r="L723" s="63"/>
      <c r="M723" s="64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6"/>
      <c r="J724" s="63"/>
      <c r="K724" s="63"/>
      <c r="L724" s="63"/>
      <c r="M724" s="64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6"/>
      <c r="J725" s="63"/>
      <c r="K725" s="63"/>
      <c r="L725" s="63"/>
      <c r="M725" s="64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6"/>
      <c r="J726" s="63"/>
      <c r="K726" s="63"/>
      <c r="L726" s="63"/>
      <c r="M726" s="64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6"/>
      <c r="J727" s="63"/>
      <c r="K727" s="63"/>
      <c r="L727" s="63"/>
      <c r="M727" s="64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6"/>
      <c r="J728" s="63"/>
      <c r="K728" s="63"/>
      <c r="L728" s="63"/>
      <c r="M728" s="64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6"/>
      <c r="J729" s="63"/>
      <c r="K729" s="63"/>
      <c r="L729" s="63"/>
      <c r="M729" s="64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6"/>
      <c r="J730" s="63"/>
      <c r="K730" s="63"/>
      <c r="L730" s="63"/>
      <c r="M730" s="64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6"/>
      <c r="J731" s="63"/>
      <c r="K731" s="63"/>
      <c r="L731" s="63"/>
      <c r="M731" s="64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6"/>
      <c r="J732" s="63"/>
      <c r="K732" s="63"/>
      <c r="L732" s="63"/>
      <c r="M732" s="64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6"/>
      <c r="J733" s="63"/>
      <c r="K733" s="63"/>
      <c r="L733" s="63"/>
      <c r="M733" s="64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6"/>
      <c r="J734" s="63"/>
      <c r="K734" s="63"/>
      <c r="L734" s="63"/>
      <c r="M734" s="64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6"/>
      <c r="J735" s="63"/>
      <c r="K735" s="63"/>
      <c r="L735" s="63"/>
      <c r="M735" s="64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6"/>
      <c r="J736" s="63"/>
      <c r="K736" s="63"/>
      <c r="L736" s="63"/>
      <c r="M736" s="64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6"/>
      <c r="J737" s="63"/>
      <c r="K737" s="63"/>
      <c r="L737" s="63"/>
      <c r="M737" s="64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6"/>
      <c r="J738" s="63"/>
      <c r="K738" s="63"/>
      <c r="L738" s="63"/>
      <c r="M738" s="64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6"/>
      <c r="J739" s="63"/>
      <c r="K739" s="63"/>
      <c r="L739" s="63"/>
      <c r="M739" s="64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6"/>
      <c r="J740" s="63"/>
      <c r="K740" s="63"/>
      <c r="L740" s="63"/>
      <c r="M740" s="64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6"/>
      <c r="J741" s="63"/>
      <c r="K741" s="63"/>
      <c r="L741" s="63"/>
      <c r="M741" s="64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6"/>
      <c r="J742" s="63"/>
      <c r="K742" s="63"/>
      <c r="L742" s="63"/>
      <c r="M742" s="64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6"/>
      <c r="J743" s="63"/>
      <c r="K743" s="63"/>
      <c r="L743" s="63"/>
      <c r="M743" s="64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6"/>
      <c r="J744" s="63"/>
      <c r="K744" s="63"/>
      <c r="L744" s="63"/>
      <c r="M744" s="64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6"/>
      <c r="J745" s="63"/>
      <c r="K745" s="63"/>
      <c r="L745" s="63"/>
      <c r="M745" s="64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6"/>
      <c r="J746" s="63"/>
      <c r="K746" s="63"/>
      <c r="L746" s="63"/>
      <c r="M746" s="64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6"/>
      <c r="J747" s="63"/>
      <c r="K747" s="63"/>
      <c r="L747" s="63"/>
      <c r="M747" s="64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6"/>
      <c r="J748" s="63"/>
      <c r="K748" s="63"/>
      <c r="L748" s="63"/>
      <c r="M748" s="64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6"/>
      <c r="J749" s="63"/>
      <c r="K749" s="63"/>
      <c r="L749" s="63"/>
      <c r="M749" s="64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6"/>
      <c r="J750" s="63"/>
      <c r="K750" s="63"/>
      <c r="L750" s="63"/>
      <c r="M750" s="64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6"/>
      <c r="J751" s="63"/>
      <c r="K751" s="63"/>
      <c r="L751" s="63"/>
      <c r="M751" s="64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6"/>
      <c r="J752" s="63"/>
      <c r="K752" s="63"/>
      <c r="L752" s="63"/>
      <c r="M752" s="64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6"/>
      <c r="J753" s="63"/>
      <c r="K753" s="63"/>
      <c r="L753" s="63"/>
      <c r="M753" s="64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6"/>
      <c r="J754" s="63"/>
      <c r="K754" s="63"/>
      <c r="L754" s="63"/>
      <c r="M754" s="64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6"/>
      <c r="J755" s="63"/>
      <c r="K755" s="63"/>
      <c r="L755" s="63"/>
      <c r="M755" s="64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6"/>
      <c r="J756" s="63"/>
      <c r="K756" s="63"/>
      <c r="L756" s="63"/>
      <c r="M756" s="64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6"/>
      <c r="J757" s="63"/>
      <c r="K757" s="63"/>
      <c r="L757" s="63"/>
      <c r="M757" s="64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6"/>
      <c r="J758" s="63"/>
      <c r="K758" s="63"/>
      <c r="L758" s="63"/>
      <c r="M758" s="64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6"/>
      <c r="J759" s="63"/>
      <c r="K759" s="63"/>
      <c r="L759" s="63"/>
      <c r="M759" s="64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6"/>
      <c r="J760" s="63"/>
      <c r="K760" s="63"/>
      <c r="L760" s="63"/>
      <c r="M760" s="64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6"/>
      <c r="J761" s="63"/>
      <c r="K761" s="63"/>
      <c r="L761" s="63"/>
      <c r="M761" s="64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6"/>
      <c r="J762" s="63"/>
      <c r="K762" s="63"/>
      <c r="L762" s="63"/>
      <c r="M762" s="64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6"/>
      <c r="J763" s="63"/>
      <c r="K763" s="63"/>
      <c r="L763" s="63"/>
      <c r="M763" s="64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6"/>
      <c r="J764" s="63"/>
      <c r="K764" s="63"/>
      <c r="L764" s="63"/>
      <c r="M764" s="64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6"/>
      <c r="J765" s="63"/>
      <c r="K765" s="63"/>
      <c r="L765" s="63"/>
      <c r="M765" s="64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6"/>
      <c r="J766" s="63"/>
      <c r="K766" s="63"/>
      <c r="L766" s="63"/>
      <c r="M766" s="64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6"/>
      <c r="J767" s="63"/>
      <c r="K767" s="63"/>
      <c r="L767" s="63"/>
      <c r="M767" s="64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6"/>
      <c r="J768" s="63"/>
      <c r="K768" s="63"/>
      <c r="L768" s="63"/>
      <c r="M768" s="64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6"/>
      <c r="J769" s="63"/>
      <c r="K769" s="63"/>
      <c r="L769" s="63"/>
      <c r="M769" s="64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6"/>
      <c r="J770" s="63"/>
      <c r="K770" s="63"/>
      <c r="L770" s="63"/>
      <c r="M770" s="64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6"/>
      <c r="J771" s="63"/>
      <c r="K771" s="63"/>
      <c r="L771" s="63"/>
      <c r="M771" s="64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6"/>
      <c r="J772" s="63"/>
      <c r="K772" s="63"/>
      <c r="L772" s="63"/>
      <c r="M772" s="64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6"/>
      <c r="J773" s="63"/>
      <c r="K773" s="63"/>
      <c r="L773" s="63"/>
      <c r="M773" s="64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6"/>
      <c r="J774" s="63"/>
      <c r="K774" s="63"/>
      <c r="L774" s="63"/>
      <c r="M774" s="64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6"/>
      <c r="J775" s="63"/>
      <c r="K775" s="63"/>
      <c r="L775" s="63"/>
      <c r="M775" s="64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6"/>
      <c r="J776" s="63"/>
      <c r="K776" s="63"/>
      <c r="L776" s="63"/>
      <c r="M776" s="64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6"/>
      <c r="J777" s="63"/>
      <c r="K777" s="63"/>
      <c r="L777" s="63"/>
      <c r="M777" s="64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6"/>
      <c r="J778" s="63"/>
      <c r="K778" s="63"/>
      <c r="L778" s="63"/>
      <c r="M778" s="64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6"/>
      <c r="J779" s="63"/>
      <c r="K779" s="63"/>
      <c r="L779" s="63"/>
      <c r="M779" s="64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6"/>
      <c r="J780" s="63"/>
      <c r="K780" s="63"/>
      <c r="L780" s="63"/>
      <c r="M780" s="64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6"/>
      <c r="J781" s="63"/>
      <c r="K781" s="63"/>
      <c r="L781" s="63"/>
      <c r="M781" s="64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6"/>
      <c r="J782" s="63"/>
      <c r="K782" s="63"/>
      <c r="L782" s="63"/>
      <c r="M782" s="64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6"/>
      <c r="J783" s="63"/>
      <c r="K783" s="63"/>
      <c r="L783" s="63"/>
      <c r="M783" s="64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6"/>
      <c r="J784" s="63"/>
      <c r="K784" s="63"/>
      <c r="L784" s="63"/>
      <c r="M784" s="64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6"/>
      <c r="J785" s="63"/>
      <c r="K785" s="63"/>
      <c r="L785" s="63"/>
      <c r="M785" s="64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6"/>
      <c r="J786" s="63"/>
      <c r="K786" s="63"/>
      <c r="L786" s="63"/>
      <c r="M786" s="64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6"/>
      <c r="J787" s="63"/>
      <c r="K787" s="63"/>
      <c r="L787" s="63"/>
      <c r="M787" s="64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6"/>
      <c r="J788" s="63"/>
      <c r="K788" s="63"/>
      <c r="L788" s="63"/>
      <c r="M788" s="64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6"/>
      <c r="J789" s="63"/>
      <c r="K789" s="63"/>
      <c r="L789" s="63"/>
      <c r="M789" s="64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6"/>
      <c r="J790" s="63"/>
      <c r="K790" s="63"/>
      <c r="L790" s="63"/>
      <c r="M790" s="64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6"/>
      <c r="J791" s="63"/>
      <c r="K791" s="63"/>
      <c r="L791" s="63"/>
      <c r="M791" s="64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6"/>
      <c r="J792" s="63"/>
      <c r="K792" s="63"/>
      <c r="L792" s="63"/>
      <c r="M792" s="64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6"/>
      <c r="J793" s="63"/>
      <c r="K793" s="63"/>
      <c r="L793" s="63"/>
      <c r="M793" s="64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6"/>
      <c r="J794" s="63"/>
      <c r="K794" s="63"/>
      <c r="L794" s="63"/>
      <c r="M794" s="64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6"/>
      <c r="J795" s="63"/>
      <c r="K795" s="63"/>
      <c r="L795" s="63"/>
      <c r="M795" s="64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6"/>
      <c r="J796" s="63"/>
      <c r="K796" s="63"/>
      <c r="L796" s="63"/>
      <c r="M796" s="64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6"/>
      <c r="J797" s="63"/>
      <c r="K797" s="63"/>
      <c r="L797" s="63"/>
      <c r="M797" s="64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6"/>
      <c r="J798" s="63"/>
      <c r="K798" s="63"/>
      <c r="L798" s="63"/>
      <c r="M798" s="64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6"/>
      <c r="J799" s="63"/>
      <c r="K799" s="63"/>
      <c r="L799" s="63"/>
      <c r="M799" s="64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6"/>
      <c r="J800" s="63"/>
      <c r="K800" s="63"/>
      <c r="L800" s="63"/>
      <c r="M800" s="64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6"/>
      <c r="J801" s="63"/>
      <c r="K801" s="63"/>
      <c r="L801" s="63"/>
      <c r="M801" s="64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6"/>
      <c r="J802" s="63"/>
      <c r="K802" s="63"/>
      <c r="L802" s="63"/>
      <c r="M802" s="64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6"/>
      <c r="J803" s="63"/>
      <c r="K803" s="63"/>
      <c r="L803" s="63"/>
      <c r="M803" s="64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6"/>
      <c r="J804" s="63"/>
      <c r="K804" s="63"/>
      <c r="L804" s="63"/>
      <c r="M804" s="64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6"/>
      <c r="J805" s="63"/>
      <c r="K805" s="63"/>
      <c r="L805" s="63"/>
      <c r="M805" s="64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6"/>
      <c r="J806" s="63"/>
      <c r="K806" s="63"/>
      <c r="L806" s="63"/>
      <c r="M806" s="64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6"/>
      <c r="J807" s="63"/>
      <c r="K807" s="63"/>
      <c r="L807" s="63"/>
      <c r="M807" s="64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6"/>
      <c r="J808" s="63"/>
      <c r="K808" s="63"/>
      <c r="L808" s="63"/>
      <c r="M808" s="64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6"/>
      <c r="J809" s="63"/>
      <c r="K809" s="63"/>
      <c r="L809" s="63"/>
      <c r="M809" s="64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6"/>
      <c r="J810" s="63"/>
      <c r="K810" s="63"/>
      <c r="L810" s="63"/>
      <c r="M810" s="64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6"/>
      <c r="J811" s="63"/>
      <c r="K811" s="63"/>
      <c r="L811" s="63"/>
      <c r="M811" s="64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6"/>
      <c r="J812" s="63"/>
      <c r="K812" s="63"/>
      <c r="L812" s="63"/>
      <c r="M812" s="64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6"/>
      <c r="J813" s="63"/>
      <c r="K813" s="63"/>
      <c r="L813" s="63"/>
      <c r="M813" s="64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6"/>
      <c r="J814" s="63"/>
      <c r="K814" s="63"/>
      <c r="L814" s="63"/>
      <c r="M814" s="64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6"/>
      <c r="J815" s="63"/>
      <c r="K815" s="63"/>
      <c r="L815" s="63"/>
      <c r="M815" s="64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6"/>
      <c r="J816" s="63"/>
      <c r="K816" s="63"/>
      <c r="L816" s="63"/>
      <c r="M816" s="64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6"/>
      <c r="J817" s="63"/>
      <c r="K817" s="63"/>
      <c r="L817" s="63"/>
      <c r="M817" s="64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6"/>
      <c r="J818" s="63"/>
      <c r="K818" s="63"/>
      <c r="L818" s="63"/>
      <c r="M818" s="64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6"/>
      <c r="J819" s="63"/>
      <c r="K819" s="63"/>
      <c r="L819" s="63"/>
      <c r="M819" s="64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6"/>
      <c r="J820" s="63"/>
      <c r="K820" s="63"/>
      <c r="L820" s="63"/>
      <c r="M820" s="64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6"/>
      <c r="J821" s="63"/>
      <c r="K821" s="63"/>
      <c r="L821" s="63"/>
      <c r="M821" s="64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6"/>
      <c r="J822" s="63"/>
      <c r="K822" s="63"/>
      <c r="L822" s="63"/>
      <c r="M822" s="64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6"/>
      <c r="J823" s="63"/>
      <c r="K823" s="63"/>
      <c r="L823" s="63"/>
      <c r="M823" s="64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6"/>
      <c r="J824" s="63"/>
      <c r="K824" s="63"/>
      <c r="L824" s="63"/>
      <c r="M824" s="64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6"/>
      <c r="J825" s="63"/>
      <c r="K825" s="63"/>
      <c r="L825" s="63"/>
      <c r="M825" s="64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6"/>
      <c r="J826" s="63"/>
      <c r="K826" s="63"/>
      <c r="L826" s="63"/>
      <c r="M826" s="64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6"/>
      <c r="J827" s="63"/>
      <c r="K827" s="63"/>
      <c r="L827" s="63"/>
      <c r="M827" s="64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6"/>
      <c r="J828" s="63"/>
      <c r="K828" s="63"/>
      <c r="L828" s="63"/>
      <c r="M828" s="64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6"/>
      <c r="J829" s="63"/>
      <c r="K829" s="63"/>
      <c r="L829" s="63"/>
      <c r="M829" s="64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6"/>
      <c r="J830" s="63"/>
      <c r="K830" s="63"/>
      <c r="L830" s="63"/>
      <c r="M830" s="64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6"/>
      <c r="J831" s="63"/>
      <c r="K831" s="63"/>
      <c r="L831" s="63"/>
      <c r="M831" s="64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6"/>
      <c r="J832" s="63"/>
      <c r="K832" s="63"/>
      <c r="L832" s="63"/>
      <c r="M832" s="64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6"/>
      <c r="J833" s="63"/>
      <c r="K833" s="63"/>
      <c r="L833" s="63"/>
      <c r="M833" s="64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6"/>
      <c r="J834" s="63"/>
      <c r="K834" s="63"/>
      <c r="L834" s="63"/>
      <c r="M834" s="64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6"/>
      <c r="J835" s="63"/>
      <c r="K835" s="63"/>
      <c r="L835" s="63"/>
      <c r="M835" s="64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6"/>
      <c r="J836" s="63"/>
      <c r="K836" s="63"/>
      <c r="L836" s="63"/>
      <c r="M836" s="64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6"/>
      <c r="J837" s="63"/>
      <c r="K837" s="63"/>
      <c r="L837" s="63"/>
      <c r="M837" s="64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6"/>
      <c r="J838" s="63"/>
      <c r="K838" s="63"/>
      <c r="L838" s="63"/>
      <c r="M838" s="64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6"/>
      <c r="J839" s="63"/>
      <c r="K839" s="63"/>
      <c r="L839" s="63"/>
      <c r="M839" s="64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6"/>
      <c r="J840" s="63"/>
      <c r="K840" s="63"/>
      <c r="L840" s="63"/>
      <c r="M840" s="64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6"/>
      <c r="J841" s="63"/>
      <c r="K841" s="63"/>
      <c r="L841" s="63"/>
      <c r="M841" s="64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6"/>
      <c r="J842" s="63"/>
      <c r="K842" s="63"/>
      <c r="L842" s="63"/>
      <c r="M842" s="64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6"/>
      <c r="J843" s="63"/>
      <c r="K843" s="63"/>
      <c r="L843" s="63"/>
      <c r="M843" s="64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6"/>
      <c r="J844" s="63"/>
      <c r="K844" s="63"/>
      <c r="L844" s="63"/>
      <c r="M844" s="64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6"/>
      <c r="J845" s="63"/>
      <c r="K845" s="63"/>
      <c r="L845" s="63"/>
      <c r="M845" s="64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6"/>
      <c r="J846" s="63"/>
      <c r="K846" s="63"/>
      <c r="L846" s="63"/>
      <c r="M846" s="64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6"/>
      <c r="J847" s="63"/>
      <c r="K847" s="63"/>
      <c r="L847" s="63"/>
      <c r="M847" s="64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6"/>
      <c r="J848" s="63"/>
      <c r="K848" s="63"/>
      <c r="L848" s="63"/>
      <c r="M848" s="64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6"/>
      <c r="J849" s="63"/>
      <c r="K849" s="63"/>
      <c r="L849" s="63"/>
      <c r="M849" s="64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6"/>
      <c r="J850" s="63"/>
      <c r="K850" s="63"/>
      <c r="L850" s="63"/>
      <c r="M850" s="64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6"/>
      <c r="J851" s="63"/>
      <c r="K851" s="63"/>
      <c r="L851" s="63"/>
      <c r="M851" s="64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6"/>
      <c r="J852" s="63"/>
      <c r="K852" s="63"/>
      <c r="L852" s="63"/>
      <c r="M852" s="64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6"/>
      <c r="J853" s="63"/>
      <c r="K853" s="63"/>
      <c r="L853" s="63"/>
      <c r="M853" s="64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6"/>
      <c r="J854" s="63"/>
      <c r="K854" s="63"/>
      <c r="L854" s="63"/>
      <c r="M854" s="64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6"/>
      <c r="J855" s="63"/>
      <c r="K855" s="63"/>
      <c r="L855" s="63"/>
      <c r="M855" s="64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6"/>
      <c r="J856" s="63"/>
      <c r="K856" s="63"/>
      <c r="L856" s="63"/>
      <c r="M856" s="64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6"/>
      <c r="J857" s="63"/>
      <c r="K857" s="63"/>
      <c r="L857" s="63"/>
      <c r="M857" s="64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6"/>
      <c r="J858" s="63"/>
      <c r="K858" s="63"/>
      <c r="L858" s="63"/>
      <c r="M858" s="64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6"/>
      <c r="J859" s="63"/>
      <c r="K859" s="63"/>
      <c r="L859" s="63"/>
      <c r="M859" s="64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6"/>
      <c r="J860" s="63"/>
      <c r="K860" s="63"/>
      <c r="L860" s="63"/>
      <c r="M860" s="64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6"/>
      <c r="J861" s="63"/>
      <c r="K861" s="63"/>
      <c r="L861" s="63"/>
      <c r="M861" s="64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6"/>
      <c r="J862" s="63"/>
      <c r="K862" s="63"/>
      <c r="L862" s="63"/>
      <c r="M862" s="64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6"/>
      <c r="J863" s="63"/>
      <c r="K863" s="63"/>
      <c r="L863" s="63"/>
      <c r="M863" s="64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6"/>
      <c r="J864" s="63"/>
      <c r="K864" s="63"/>
      <c r="L864" s="63"/>
      <c r="M864" s="64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6"/>
      <c r="J865" s="63"/>
      <c r="K865" s="63"/>
      <c r="L865" s="63"/>
      <c r="M865" s="64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6"/>
      <c r="J866" s="63"/>
      <c r="K866" s="63"/>
      <c r="L866" s="63"/>
      <c r="M866" s="64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6"/>
      <c r="J867" s="63"/>
      <c r="K867" s="63"/>
      <c r="L867" s="63"/>
      <c r="M867" s="64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6"/>
      <c r="J868" s="63"/>
      <c r="K868" s="63"/>
      <c r="L868" s="63"/>
      <c r="M868" s="64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6"/>
      <c r="J869" s="63"/>
      <c r="K869" s="63"/>
      <c r="L869" s="63"/>
      <c r="M869" s="64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6"/>
      <c r="J870" s="63"/>
      <c r="K870" s="63"/>
      <c r="L870" s="63"/>
      <c r="M870" s="64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6"/>
      <c r="J871" s="63"/>
      <c r="K871" s="63"/>
      <c r="L871" s="63"/>
      <c r="M871" s="64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6"/>
      <c r="J872" s="63"/>
      <c r="K872" s="63"/>
      <c r="L872" s="63"/>
      <c r="M872" s="64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6"/>
      <c r="J873" s="63"/>
      <c r="K873" s="63"/>
      <c r="L873" s="63"/>
      <c r="M873" s="64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6"/>
      <c r="J874" s="63"/>
      <c r="K874" s="63"/>
      <c r="L874" s="63"/>
      <c r="M874" s="64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6"/>
      <c r="J875" s="63"/>
      <c r="K875" s="63"/>
      <c r="L875" s="63"/>
      <c r="M875" s="64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6"/>
      <c r="J876" s="63"/>
      <c r="K876" s="63"/>
      <c r="L876" s="63"/>
      <c r="M876" s="64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6"/>
      <c r="J877" s="63"/>
      <c r="K877" s="63"/>
      <c r="L877" s="63"/>
      <c r="M877" s="64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6"/>
      <c r="J878" s="63"/>
      <c r="K878" s="63"/>
      <c r="L878" s="63"/>
      <c r="M878" s="64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6"/>
      <c r="J879" s="63"/>
      <c r="K879" s="63"/>
      <c r="L879" s="63"/>
      <c r="M879" s="64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6"/>
      <c r="J880" s="63"/>
      <c r="K880" s="63"/>
      <c r="L880" s="63"/>
      <c r="M880" s="64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6"/>
      <c r="J881" s="63"/>
      <c r="K881" s="63"/>
      <c r="L881" s="63"/>
      <c r="M881" s="64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6"/>
      <c r="J882" s="63"/>
      <c r="K882" s="63"/>
      <c r="L882" s="63"/>
      <c r="M882" s="64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6"/>
      <c r="J883" s="63"/>
      <c r="K883" s="63"/>
      <c r="L883" s="63"/>
      <c r="M883" s="64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6"/>
      <c r="J884" s="63"/>
      <c r="K884" s="63"/>
      <c r="L884" s="63"/>
      <c r="M884" s="64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6"/>
      <c r="J885" s="63"/>
      <c r="K885" s="63"/>
      <c r="L885" s="63"/>
      <c r="M885" s="64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6"/>
      <c r="J886" s="63"/>
      <c r="K886" s="63"/>
      <c r="L886" s="63"/>
      <c r="M886" s="64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6"/>
      <c r="J887" s="63"/>
      <c r="K887" s="63"/>
      <c r="L887" s="63"/>
      <c r="M887" s="64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6"/>
      <c r="J888" s="63"/>
      <c r="K888" s="63"/>
      <c r="L888" s="63"/>
      <c r="M888" s="64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6"/>
      <c r="J889" s="63"/>
      <c r="K889" s="63"/>
      <c r="L889" s="63"/>
      <c r="M889" s="64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6"/>
      <c r="J890" s="63"/>
      <c r="K890" s="63"/>
      <c r="L890" s="63"/>
      <c r="M890" s="64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6"/>
      <c r="J891" s="63"/>
      <c r="K891" s="63"/>
      <c r="L891" s="63"/>
      <c r="M891" s="64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6"/>
      <c r="J892" s="63"/>
      <c r="K892" s="63"/>
      <c r="L892" s="63"/>
      <c r="M892" s="64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6"/>
      <c r="J893" s="63"/>
      <c r="K893" s="63"/>
      <c r="L893" s="63"/>
      <c r="M893" s="64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6"/>
      <c r="J894" s="63"/>
      <c r="K894" s="63"/>
      <c r="L894" s="63"/>
      <c r="M894" s="64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6"/>
      <c r="J895" s="63"/>
      <c r="K895" s="63"/>
      <c r="L895" s="63"/>
      <c r="M895" s="64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6"/>
      <c r="J896" s="63"/>
      <c r="K896" s="63"/>
      <c r="L896" s="63"/>
      <c r="M896" s="64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6"/>
      <c r="J897" s="63"/>
      <c r="K897" s="63"/>
      <c r="L897" s="63"/>
      <c r="M897" s="64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6"/>
      <c r="J898" s="63"/>
      <c r="K898" s="63"/>
      <c r="L898" s="63"/>
      <c r="M898" s="64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6"/>
      <c r="J899" s="63"/>
      <c r="K899" s="63"/>
      <c r="L899" s="63"/>
      <c r="M899" s="64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6"/>
      <c r="J900" s="63"/>
      <c r="K900" s="63"/>
      <c r="L900" s="63"/>
      <c r="M900" s="64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6"/>
      <c r="J901" s="63"/>
      <c r="K901" s="63"/>
      <c r="L901" s="63"/>
      <c r="M901" s="64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6"/>
      <c r="J902" s="63"/>
      <c r="K902" s="63"/>
      <c r="L902" s="63"/>
      <c r="M902" s="64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6"/>
      <c r="J903" s="63"/>
      <c r="K903" s="63"/>
      <c r="L903" s="63"/>
      <c r="M903" s="64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6"/>
      <c r="J904" s="63"/>
      <c r="K904" s="63"/>
      <c r="L904" s="63"/>
      <c r="M904" s="64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6"/>
      <c r="J905" s="63"/>
      <c r="K905" s="63"/>
      <c r="L905" s="63"/>
      <c r="M905" s="64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6"/>
      <c r="J906" s="63"/>
      <c r="K906" s="63"/>
      <c r="L906" s="63"/>
      <c r="M906" s="64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6"/>
      <c r="J907" s="63"/>
      <c r="K907" s="63"/>
      <c r="L907" s="63"/>
      <c r="M907" s="64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6"/>
      <c r="J908" s="63"/>
      <c r="K908" s="63"/>
      <c r="L908" s="63"/>
      <c r="M908" s="64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6"/>
      <c r="J909" s="63"/>
      <c r="K909" s="63"/>
      <c r="L909" s="63"/>
      <c r="M909" s="64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6"/>
      <c r="J910" s="63"/>
      <c r="K910" s="63"/>
      <c r="L910" s="63"/>
      <c r="M910" s="64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6"/>
      <c r="J911" s="63"/>
      <c r="K911" s="63"/>
      <c r="L911" s="63"/>
      <c r="M911" s="64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6"/>
      <c r="J912" s="63"/>
      <c r="K912" s="63"/>
      <c r="L912" s="63"/>
      <c r="M912" s="64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6"/>
      <c r="J913" s="63"/>
      <c r="K913" s="63"/>
      <c r="L913" s="63"/>
      <c r="M913" s="64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6"/>
      <c r="J914" s="63"/>
      <c r="K914" s="63"/>
      <c r="L914" s="63"/>
      <c r="M914" s="64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6"/>
      <c r="J915" s="63"/>
      <c r="K915" s="63"/>
      <c r="L915" s="63"/>
      <c r="M915" s="64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6"/>
      <c r="J916" s="63"/>
      <c r="K916" s="63"/>
      <c r="L916" s="63"/>
      <c r="M916" s="64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6"/>
      <c r="J917" s="63"/>
      <c r="K917" s="63"/>
      <c r="L917" s="63"/>
      <c r="M917" s="64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6"/>
      <c r="J918" s="63"/>
      <c r="K918" s="63"/>
      <c r="L918" s="63"/>
      <c r="M918" s="64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6"/>
      <c r="J919" s="63"/>
      <c r="K919" s="63"/>
      <c r="L919" s="63"/>
      <c r="M919" s="64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6"/>
      <c r="J920" s="63"/>
      <c r="K920" s="63"/>
      <c r="L920" s="63"/>
      <c r="M920" s="64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6"/>
      <c r="J921" s="63"/>
      <c r="K921" s="63"/>
      <c r="L921" s="63"/>
      <c r="M921" s="64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6"/>
      <c r="J922" s="63"/>
      <c r="K922" s="63"/>
      <c r="L922" s="63"/>
      <c r="M922" s="64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6"/>
      <c r="J923" s="63"/>
      <c r="K923" s="63"/>
      <c r="L923" s="63"/>
      <c r="M923" s="64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6"/>
      <c r="J924" s="63"/>
      <c r="K924" s="63"/>
      <c r="L924" s="63"/>
      <c r="M924" s="64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6"/>
      <c r="J925" s="63"/>
      <c r="K925" s="63"/>
      <c r="L925" s="63"/>
      <c r="M925" s="64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6"/>
      <c r="J926" s="63"/>
      <c r="K926" s="63"/>
      <c r="L926" s="63"/>
      <c r="M926" s="64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6"/>
      <c r="J927" s="63"/>
      <c r="K927" s="63"/>
      <c r="L927" s="63"/>
      <c r="M927" s="64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6"/>
      <c r="J928" s="63"/>
      <c r="K928" s="63"/>
      <c r="L928" s="63"/>
      <c r="M928" s="64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6"/>
      <c r="J929" s="63"/>
      <c r="K929" s="63"/>
      <c r="L929" s="63"/>
      <c r="M929" s="64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6"/>
      <c r="J930" s="63"/>
      <c r="K930" s="63"/>
      <c r="L930" s="63"/>
      <c r="M930" s="64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6"/>
      <c r="J931" s="63"/>
      <c r="K931" s="63"/>
      <c r="L931" s="63"/>
      <c r="M931" s="64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6"/>
      <c r="J932" s="63"/>
      <c r="K932" s="63"/>
      <c r="L932" s="63"/>
      <c r="M932" s="64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6"/>
      <c r="J933" s="63"/>
      <c r="K933" s="63"/>
      <c r="L933" s="63"/>
      <c r="M933" s="64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6"/>
      <c r="J934" s="63"/>
      <c r="K934" s="63"/>
      <c r="L934" s="63"/>
      <c r="M934" s="64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6"/>
      <c r="J935" s="63"/>
      <c r="K935" s="63"/>
      <c r="L935" s="63"/>
      <c r="M935" s="64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6"/>
      <c r="J936" s="63"/>
      <c r="K936" s="63"/>
      <c r="L936" s="63"/>
      <c r="M936" s="64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6"/>
      <c r="J937" s="63"/>
      <c r="K937" s="63"/>
      <c r="L937" s="63"/>
      <c r="M937" s="64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6"/>
      <c r="J938" s="63"/>
      <c r="K938" s="63"/>
      <c r="L938" s="63"/>
      <c r="M938" s="64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6"/>
      <c r="J939" s="63"/>
      <c r="K939" s="63"/>
      <c r="L939" s="63"/>
      <c r="M939" s="64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6"/>
      <c r="J940" s="63"/>
      <c r="K940" s="63"/>
      <c r="L940" s="63"/>
      <c r="M940" s="64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6"/>
      <c r="J941" s="63"/>
      <c r="K941" s="63"/>
      <c r="L941" s="63"/>
      <c r="M941" s="64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6"/>
      <c r="J942" s="63"/>
      <c r="K942" s="63"/>
      <c r="L942" s="63"/>
      <c r="M942" s="64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6"/>
      <c r="J943" s="63"/>
      <c r="K943" s="63"/>
      <c r="L943" s="63"/>
      <c r="M943" s="64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6"/>
      <c r="J944" s="63"/>
      <c r="K944" s="63"/>
      <c r="L944" s="63"/>
      <c r="M944" s="64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6"/>
      <c r="J945" s="63"/>
      <c r="K945" s="63"/>
      <c r="L945" s="63"/>
      <c r="M945" s="64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6"/>
      <c r="J946" s="63"/>
      <c r="K946" s="63"/>
      <c r="L946" s="63"/>
      <c r="M946" s="64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6"/>
      <c r="J947" s="63"/>
      <c r="K947" s="63"/>
      <c r="L947" s="63"/>
      <c r="M947" s="64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6"/>
      <c r="J948" s="63"/>
      <c r="K948" s="63"/>
      <c r="L948" s="63"/>
      <c r="M948" s="64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6"/>
      <c r="J949" s="63"/>
      <c r="K949" s="63"/>
      <c r="L949" s="63"/>
      <c r="M949" s="64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6"/>
      <c r="J950" s="63"/>
      <c r="K950" s="63"/>
      <c r="L950" s="63"/>
      <c r="M950" s="64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6"/>
      <c r="J951" s="63"/>
      <c r="K951" s="63"/>
      <c r="L951" s="63"/>
      <c r="M951" s="64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6"/>
      <c r="J952" s="63"/>
      <c r="K952" s="63"/>
      <c r="L952" s="63"/>
      <c r="M952" s="64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6"/>
      <c r="J953" s="63"/>
      <c r="K953" s="63"/>
      <c r="L953" s="63"/>
      <c r="M953" s="64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6"/>
      <c r="J954" s="63"/>
      <c r="K954" s="63"/>
      <c r="L954" s="63"/>
      <c r="M954" s="64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6"/>
      <c r="J955" s="63"/>
      <c r="K955" s="63"/>
      <c r="L955" s="63"/>
      <c r="M955" s="64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6"/>
      <c r="J956" s="63"/>
      <c r="K956" s="63"/>
      <c r="L956" s="63"/>
      <c r="M956" s="64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6"/>
      <c r="J957" s="63"/>
      <c r="K957" s="63"/>
      <c r="L957" s="63"/>
      <c r="M957" s="64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6"/>
      <c r="J958" s="63"/>
      <c r="K958" s="63"/>
      <c r="L958" s="63"/>
      <c r="M958" s="64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6"/>
      <c r="J959" s="63"/>
      <c r="K959" s="63"/>
      <c r="L959" s="63"/>
      <c r="M959" s="64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6"/>
      <c r="J960" s="63"/>
      <c r="K960" s="63"/>
      <c r="L960" s="63"/>
      <c r="M960" s="64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6"/>
      <c r="J961" s="63"/>
      <c r="K961" s="63"/>
      <c r="L961" s="63"/>
      <c r="M961" s="64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6"/>
      <c r="J962" s="63"/>
      <c r="K962" s="63"/>
      <c r="L962" s="63"/>
      <c r="M962" s="64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6"/>
      <c r="J963" s="63"/>
      <c r="K963" s="63"/>
      <c r="L963" s="63"/>
      <c r="M963" s="64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6"/>
      <c r="J964" s="63"/>
      <c r="K964" s="63"/>
      <c r="L964" s="63"/>
      <c r="M964" s="64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6"/>
      <c r="J965" s="63"/>
      <c r="K965" s="63"/>
      <c r="L965" s="63"/>
      <c r="M965" s="64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6"/>
      <c r="J966" s="63"/>
      <c r="K966" s="63"/>
      <c r="L966" s="63"/>
      <c r="M966" s="64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</sheetData>
  <mergeCells count="1">
    <mergeCell ref="A1:K2"/>
  </mergeCells>
  <dataValidations>
    <dataValidation type="custom" allowBlank="1" showDropDown="1" sqref="E11:K67">
      <formula1>OR(TIMEVALUE(TEXT(E11, "hh:mm:ss"))=E11, AND(ISNUMBER(E11), LEFT(CELL("format", E11))="D"))</formula1>
    </dataValidation>
    <dataValidation type="custom" allowBlank="1" showDropDown="1" sqref="A11:A67">
      <formula1>OR(NOT(ISERROR(DATEVALUE(A11))), AND(ISNUMBER(A11), LEFT(CELL("format", A11))="D"))</formula1>
    </dataValidation>
    <dataValidation type="custom" allowBlank="1" showDropDown="1" sqref="F6:H9 K6:K9">
      <formula1>AND(ISNUMBER(F6),(NOT(OR(NOT(ISERROR(DATEVALUE(F6))), AND(ISNUMBER(F6), LEFT(CELL("format", F6))="D")))))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